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izzo-my.sharepoint.com/personal/andrew_aizzo_net/Documents/Documents/BDC/"/>
    </mc:Choice>
  </mc:AlternateContent>
  <xr:revisionPtr revIDLastSave="356" documentId="11_6642566F6642E62EA941A5A20EBDE4E34600506A" xr6:coauthVersionLast="47" xr6:coauthVersionMax="47" xr10:uidLastSave="{7F9D50F2-8C57-489A-99EB-2B2B7AC30912}"/>
  <bookViews>
    <workbookView xWindow="-120" yWindow="-120" windowWidth="38640" windowHeight="21120" firstSheet="1" activeTab="6" xr2:uid="{00000000-000D-0000-FFFF-FFFF00000000}"/>
    <workbookView xWindow="7005" yWindow="21480" windowWidth="23280" windowHeight="14880" firstSheet="1" activeTab="1" xr2:uid="{B7C5EB8E-C651-4D29-9366-4F30456F6119}"/>
  </bookViews>
  <sheets>
    <sheet name="__snloffice" sheetId="7" state="veryHidden" r:id="rId1"/>
    <sheet name="ARCC" sheetId="1" r:id="rId2"/>
    <sheet name="BXSL" sheetId="2" r:id="rId3"/>
    <sheet name="GBDC" sheetId="3" r:id="rId4"/>
    <sheet name="OBDC" sheetId="4" r:id="rId5"/>
    <sheet name="TCPC" sheetId="5" r:id="rId6"/>
    <sheet name="TSLX" sheetId="6"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 l="1"/>
  <c r="T23" i="6"/>
  <c r="T22" i="6"/>
  <c r="T21" i="6"/>
  <c r="T20" i="6"/>
  <c r="T19" i="6"/>
  <c r="T18" i="6"/>
  <c r="T17" i="6"/>
  <c r="T16" i="6"/>
  <c r="T15" i="6"/>
  <c r="T14" i="6"/>
  <c r="T13" i="6"/>
  <c r="T12" i="6"/>
  <c r="T11" i="6"/>
  <c r="T10" i="6"/>
  <c r="T9" i="6"/>
  <c r="T8" i="6"/>
  <c r="T7" i="6"/>
  <c r="T6" i="6"/>
  <c r="T5" i="6"/>
  <c r="L24" i="6"/>
  <c r="L23" i="6"/>
  <c r="L22" i="6"/>
  <c r="L21" i="6"/>
  <c r="L20" i="6"/>
  <c r="L19" i="6"/>
  <c r="L18" i="6"/>
  <c r="L17" i="6"/>
  <c r="L16" i="6"/>
  <c r="L15" i="6"/>
  <c r="L14" i="6"/>
  <c r="L13" i="6"/>
  <c r="L12" i="6"/>
  <c r="L11" i="6"/>
  <c r="L10" i="6"/>
  <c r="L9" i="6"/>
  <c r="L8" i="6"/>
  <c r="L7" i="6"/>
  <c r="L6" i="6"/>
  <c r="L5" i="6"/>
  <c r="I24" i="6"/>
  <c r="K24" i="6" s="1"/>
  <c r="M24" i="6" s="1"/>
  <c r="H24" i="6"/>
  <c r="I23" i="6"/>
  <c r="K23" i="6" s="1"/>
  <c r="M23" i="6" s="1"/>
  <c r="H23" i="6"/>
  <c r="I22" i="6"/>
  <c r="K22" i="6" s="1"/>
  <c r="M22" i="6" s="1"/>
  <c r="H22" i="6"/>
  <c r="I21" i="6"/>
  <c r="K21" i="6" s="1"/>
  <c r="M21" i="6" s="1"/>
  <c r="H21" i="6"/>
  <c r="I20" i="6"/>
  <c r="K20" i="6" s="1"/>
  <c r="M20" i="6" s="1"/>
  <c r="H20" i="6"/>
  <c r="I19" i="6"/>
  <c r="K19" i="6" s="1"/>
  <c r="M19" i="6" s="1"/>
  <c r="H19" i="6"/>
  <c r="I18" i="6"/>
  <c r="K18" i="6" s="1"/>
  <c r="M18" i="6" s="1"/>
  <c r="H18" i="6"/>
  <c r="I17" i="6"/>
  <c r="K17" i="6" s="1"/>
  <c r="M17" i="6" s="1"/>
  <c r="H17" i="6"/>
  <c r="I16" i="6"/>
  <c r="K16" i="6" s="1"/>
  <c r="M16" i="6" s="1"/>
  <c r="H16" i="6"/>
  <c r="I15" i="6"/>
  <c r="K15" i="6" s="1"/>
  <c r="M15" i="6" s="1"/>
  <c r="H15" i="6"/>
  <c r="I14" i="6"/>
  <c r="K14" i="6" s="1"/>
  <c r="M14" i="6" s="1"/>
  <c r="H14" i="6"/>
  <c r="I13" i="6"/>
  <c r="K13" i="6" s="1"/>
  <c r="M13" i="6" s="1"/>
  <c r="H13" i="6"/>
  <c r="I12" i="6"/>
  <c r="K12" i="6" s="1"/>
  <c r="M12" i="6" s="1"/>
  <c r="H12" i="6"/>
  <c r="I11" i="6"/>
  <c r="K11" i="6" s="1"/>
  <c r="M11" i="6" s="1"/>
  <c r="H11" i="6"/>
  <c r="I10" i="6"/>
  <c r="K10" i="6" s="1"/>
  <c r="M10" i="6" s="1"/>
  <c r="H10" i="6"/>
  <c r="I9" i="6"/>
  <c r="K9" i="6" s="1"/>
  <c r="M9" i="6" s="1"/>
  <c r="H9" i="6"/>
  <c r="I8" i="6"/>
  <c r="K8" i="6" s="1"/>
  <c r="M8" i="6" s="1"/>
  <c r="H8" i="6"/>
  <c r="I7" i="6"/>
  <c r="K7" i="6" s="1"/>
  <c r="M7" i="6" s="1"/>
  <c r="H7" i="6"/>
  <c r="I6" i="6"/>
  <c r="K6" i="6" s="1"/>
  <c r="M6" i="6" s="1"/>
  <c r="H6" i="6"/>
  <c r="I5" i="6"/>
  <c r="K5" i="6" s="1"/>
  <c r="M5" i="6" s="1"/>
  <c r="H5" i="6"/>
  <c r="T24" i="5"/>
  <c r="T23" i="5"/>
  <c r="T22" i="5"/>
  <c r="T21" i="5"/>
  <c r="T20" i="5"/>
  <c r="T19" i="5"/>
  <c r="T18" i="5"/>
  <c r="T17" i="5"/>
  <c r="T16" i="5"/>
  <c r="T15" i="5"/>
  <c r="T14" i="5"/>
  <c r="T13" i="5"/>
  <c r="T12" i="5"/>
  <c r="T11" i="5"/>
  <c r="T10" i="5"/>
  <c r="T9" i="5"/>
  <c r="T8" i="5"/>
  <c r="T7" i="5"/>
  <c r="T6" i="5"/>
  <c r="T5" i="5"/>
  <c r="L24" i="5"/>
  <c r="L23" i="5"/>
  <c r="L22" i="5"/>
  <c r="L21" i="5"/>
  <c r="L20" i="5"/>
  <c r="L19" i="5"/>
  <c r="L18" i="5"/>
  <c r="L17" i="5"/>
  <c r="L16" i="5"/>
  <c r="L15" i="5"/>
  <c r="L14" i="5"/>
  <c r="L13" i="5"/>
  <c r="L12" i="5"/>
  <c r="L11" i="5"/>
  <c r="L10" i="5"/>
  <c r="L9" i="5"/>
  <c r="L8" i="5"/>
  <c r="L7" i="5"/>
  <c r="L6" i="5"/>
  <c r="L5" i="5"/>
  <c r="I24" i="5"/>
  <c r="K24" i="5" s="1"/>
  <c r="M24" i="5" s="1"/>
  <c r="H24" i="5"/>
  <c r="I23" i="5"/>
  <c r="K23" i="5" s="1"/>
  <c r="M23" i="5" s="1"/>
  <c r="H23" i="5"/>
  <c r="I22" i="5"/>
  <c r="K22" i="5" s="1"/>
  <c r="M22" i="5" s="1"/>
  <c r="H22" i="5"/>
  <c r="I21" i="5"/>
  <c r="K21" i="5" s="1"/>
  <c r="M21" i="5" s="1"/>
  <c r="H21" i="5"/>
  <c r="I20" i="5"/>
  <c r="K20" i="5" s="1"/>
  <c r="M20" i="5" s="1"/>
  <c r="H20" i="5"/>
  <c r="I19" i="5"/>
  <c r="K19" i="5" s="1"/>
  <c r="M19" i="5" s="1"/>
  <c r="H19" i="5"/>
  <c r="I18" i="5"/>
  <c r="K18" i="5" s="1"/>
  <c r="M18" i="5" s="1"/>
  <c r="H18" i="5"/>
  <c r="I17" i="5"/>
  <c r="K17" i="5" s="1"/>
  <c r="M17" i="5" s="1"/>
  <c r="H17" i="5"/>
  <c r="I16" i="5"/>
  <c r="K16" i="5" s="1"/>
  <c r="M16" i="5" s="1"/>
  <c r="H16" i="5"/>
  <c r="I15" i="5"/>
  <c r="K15" i="5" s="1"/>
  <c r="M15" i="5" s="1"/>
  <c r="H15" i="5"/>
  <c r="I14" i="5"/>
  <c r="K14" i="5" s="1"/>
  <c r="M14" i="5" s="1"/>
  <c r="H14" i="5"/>
  <c r="I13" i="5"/>
  <c r="K13" i="5" s="1"/>
  <c r="M13" i="5" s="1"/>
  <c r="H13" i="5"/>
  <c r="I12" i="5"/>
  <c r="K12" i="5" s="1"/>
  <c r="M12" i="5" s="1"/>
  <c r="H12" i="5"/>
  <c r="I11" i="5"/>
  <c r="K11" i="5" s="1"/>
  <c r="M11" i="5" s="1"/>
  <c r="H11" i="5"/>
  <c r="I10" i="5"/>
  <c r="K10" i="5" s="1"/>
  <c r="M10" i="5" s="1"/>
  <c r="H10" i="5"/>
  <c r="I9" i="5"/>
  <c r="K9" i="5" s="1"/>
  <c r="M9" i="5" s="1"/>
  <c r="H9" i="5"/>
  <c r="I8" i="5"/>
  <c r="K8" i="5" s="1"/>
  <c r="M8" i="5" s="1"/>
  <c r="H8" i="5"/>
  <c r="I7" i="5"/>
  <c r="K7" i="5" s="1"/>
  <c r="M7" i="5" s="1"/>
  <c r="H7" i="5"/>
  <c r="I6" i="5"/>
  <c r="K6" i="5" s="1"/>
  <c r="M6" i="5" s="1"/>
  <c r="H6" i="5"/>
  <c r="I5" i="5"/>
  <c r="K5" i="5" s="1"/>
  <c r="M5" i="5" s="1"/>
  <c r="H5" i="5"/>
  <c r="T24" i="4"/>
  <c r="T23" i="4"/>
  <c r="T22" i="4"/>
  <c r="T21" i="4"/>
  <c r="T20" i="4"/>
  <c r="T19" i="4"/>
  <c r="T18" i="4"/>
  <c r="T17" i="4"/>
  <c r="T16" i="4"/>
  <c r="T15" i="4"/>
  <c r="T14" i="4"/>
  <c r="T13" i="4"/>
  <c r="T12" i="4"/>
  <c r="T11" i="4"/>
  <c r="T10" i="4"/>
  <c r="T9" i="4"/>
  <c r="T8" i="4"/>
  <c r="T7" i="4"/>
  <c r="T6" i="4"/>
  <c r="T5" i="4"/>
  <c r="L24" i="4"/>
  <c r="L23" i="4"/>
  <c r="L22" i="4"/>
  <c r="L21" i="4"/>
  <c r="L20" i="4"/>
  <c r="L19" i="4"/>
  <c r="L18" i="4"/>
  <c r="L17" i="4"/>
  <c r="L16" i="4"/>
  <c r="L15" i="4"/>
  <c r="L14" i="4"/>
  <c r="L13" i="4"/>
  <c r="L12" i="4"/>
  <c r="L11" i="4"/>
  <c r="L10" i="4"/>
  <c r="L9" i="4"/>
  <c r="L8" i="4"/>
  <c r="L7" i="4"/>
  <c r="L6" i="4"/>
  <c r="L5" i="4"/>
  <c r="I24" i="4"/>
  <c r="K24" i="4" s="1"/>
  <c r="M24" i="4" s="1"/>
  <c r="H24" i="4"/>
  <c r="I23" i="4"/>
  <c r="K23" i="4" s="1"/>
  <c r="M23" i="4" s="1"/>
  <c r="H23" i="4"/>
  <c r="I22" i="4"/>
  <c r="K22" i="4" s="1"/>
  <c r="M22" i="4" s="1"/>
  <c r="H22" i="4"/>
  <c r="I21" i="4"/>
  <c r="K21" i="4" s="1"/>
  <c r="M21" i="4" s="1"/>
  <c r="H21" i="4"/>
  <c r="I20" i="4"/>
  <c r="K20" i="4" s="1"/>
  <c r="M20" i="4" s="1"/>
  <c r="H20" i="4"/>
  <c r="I19" i="4"/>
  <c r="K19" i="4" s="1"/>
  <c r="M19" i="4" s="1"/>
  <c r="H19" i="4"/>
  <c r="I18" i="4"/>
  <c r="K18" i="4" s="1"/>
  <c r="M18" i="4" s="1"/>
  <c r="H18" i="4"/>
  <c r="I17" i="4"/>
  <c r="K17" i="4" s="1"/>
  <c r="M17" i="4" s="1"/>
  <c r="H17" i="4"/>
  <c r="I16" i="4"/>
  <c r="K16" i="4" s="1"/>
  <c r="M16" i="4" s="1"/>
  <c r="H16" i="4"/>
  <c r="I15" i="4"/>
  <c r="K15" i="4" s="1"/>
  <c r="M15" i="4" s="1"/>
  <c r="H15" i="4"/>
  <c r="I14" i="4"/>
  <c r="K14" i="4" s="1"/>
  <c r="M14" i="4" s="1"/>
  <c r="H14" i="4"/>
  <c r="I13" i="4"/>
  <c r="K13" i="4" s="1"/>
  <c r="M13" i="4" s="1"/>
  <c r="H13" i="4"/>
  <c r="I12" i="4"/>
  <c r="K12" i="4" s="1"/>
  <c r="M12" i="4" s="1"/>
  <c r="H12" i="4"/>
  <c r="I11" i="4"/>
  <c r="K11" i="4" s="1"/>
  <c r="M11" i="4" s="1"/>
  <c r="H11" i="4"/>
  <c r="I10" i="4"/>
  <c r="K10" i="4" s="1"/>
  <c r="M10" i="4" s="1"/>
  <c r="H10" i="4"/>
  <c r="I9" i="4"/>
  <c r="K9" i="4" s="1"/>
  <c r="M9" i="4" s="1"/>
  <c r="H9" i="4"/>
  <c r="I8" i="4"/>
  <c r="K8" i="4" s="1"/>
  <c r="M8" i="4" s="1"/>
  <c r="H8" i="4"/>
  <c r="I7" i="4"/>
  <c r="K7" i="4" s="1"/>
  <c r="M7" i="4" s="1"/>
  <c r="H7" i="4"/>
  <c r="I6" i="4"/>
  <c r="K6" i="4" s="1"/>
  <c r="M6" i="4" s="1"/>
  <c r="H6" i="4"/>
  <c r="I5" i="4"/>
  <c r="K5" i="4" s="1"/>
  <c r="M5" i="4" s="1"/>
  <c r="H5" i="4"/>
  <c r="T24" i="3"/>
  <c r="T23" i="3"/>
  <c r="T22" i="3"/>
  <c r="T21" i="3"/>
  <c r="T20" i="3"/>
  <c r="T19" i="3"/>
  <c r="T18" i="3"/>
  <c r="T17" i="3"/>
  <c r="T16" i="3"/>
  <c r="T15" i="3"/>
  <c r="T14" i="3"/>
  <c r="T13" i="3"/>
  <c r="T12" i="3"/>
  <c r="T11" i="3"/>
  <c r="T10" i="3"/>
  <c r="T9" i="3"/>
  <c r="T8" i="3"/>
  <c r="T7" i="3"/>
  <c r="T6" i="3"/>
  <c r="T5" i="3"/>
  <c r="L24" i="3"/>
  <c r="L23" i="3"/>
  <c r="L22" i="3"/>
  <c r="L21" i="3"/>
  <c r="L20" i="3"/>
  <c r="L19" i="3"/>
  <c r="L18" i="3"/>
  <c r="L17" i="3"/>
  <c r="L16" i="3"/>
  <c r="L15" i="3"/>
  <c r="L14" i="3"/>
  <c r="L13" i="3"/>
  <c r="L12" i="3"/>
  <c r="L11" i="3"/>
  <c r="L10" i="3"/>
  <c r="L9" i="3"/>
  <c r="L8" i="3"/>
  <c r="L7" i="3"/>
  <c r="L6" i="3"/>
  <c r="L5" i="3"/>
  <c r="I24" i="3"/>
  <c r="K24" i="3" s="1"/>
  <c r="H24" i="3"/>
  <c r="I23" i="3"/>
  <c r="K23" i="3" s="1"/>
  <c r="H23" i="3"/>
  <c r="I22" i="3"/>
  <c r="K22" i="3" s="1"/>
  <c r="H22" i="3"/>
  <c r="I21" i="3"/>
  <c r="K21" i="3" s="1"/>
  <c r="H21" i="3"/>
  <c r="I20" i="3"/>
  <c r="K20" i="3" s="1"/>
  <c r="H20" i="3"/>
  <c r="I19" i="3"/>
  <c r="K19" i="3" s="1"/>
  <c r="H19" i="3"/>
  <c r="I18" i="3"/>
  <c r="K18" i="3" s="1"/>
  <c r="H18" i="3"/>
  <c r="I17" i="3"/>
  <c r="K17" i="3" s="1"/>
  <c r="H17" i="3"/>
  <c r="I16" i="3"/>
  <c r="K16" i="3" s="1"/>
  <c r="H16" i="3"/>
  <c r="I15" i="3"/>
  <c r="K15" i="3" s="1"/>
  <c r="H15" i="3"/>
  <c r="I14" i="3"/>
  <c r="K14" i="3" s="1"/>
  <c r="H14" i="3"/>
  <c r="I13" i="3"/>
  <c r="K13" i="3" s="1"/>
  <c r="H13" i="3"/>
  <c r="I12" i="3"/>
  <c r="K12" i="3" s="1"/>
  <c r="H12" i="3"/>
  <c r="I11" i="3"/>
  <c r="K11" i="3" s="1"/>
  <c r="H11" i="3"/>
  <c r="I10" i="3"/>
  <c r="K10" i="3" s="1"/>
  <c r="H10" i="3"/>
  <c r="I9" i="3"/>
  <c r="K9" i="3" s="1"/>
  <c r="H9" i="3"/>
  <c r="I8" i="3"/>
  <c r="K8" i="3" s="1"/>
  <c r="H8" i="3"/>
  <c r="I7" i="3"/>
  <c r="K7" i="3" s="1"/>
  <c r="H7" i="3"/>
  <c r="I6" i="3"/>
  <c r="K6" i="3" s="1"/>
  <c r="H6" i="3"/>
  <c r="I5" i="3"/>
  <c r="K5" i="3" s="1"/>
  <c r="H5" i="3"/>
  <c r="K24" i="2"/>
  <c r="K23" i="2"/>
  <c r="K22" i="2"/>
  <c r="K21" i="2"/>
  <c r="K20" i="2"/>
  <c r="K19" i="2"/>
  <c r="K18" i="2"/>
  <c r="K17" i="2"/>
  <c r="K16" i="2"/>
  <c r="K15" i="2"/>
  <c r="K14" i="2"/>
  <c r="K13" i="2"/>
  <c r="K12" i="2"/>
  <c r="K11" i="2"/>
  <c r="K10" i="2"/>
  <c r="K9" i="2"/>
  <c r="K8" i="2"/>
  <c r="K7" i="2"/>
  <c r="K6" i="2"/>
  <c r="K5" i="2"/>
  <c r="T24" i="2"/>
  <c r="T23" i="2"/>
  <c r="T22" i="2"/>
  <c r="T21" i="2"/>
  <c r="T20" i="2"/>
  <c r="T19" i="2"/>
  <c r="T18" i="2"/>
  <c r="T17" i="2"/>
  <c r="T16" i="2"/>
  <c r="T15" i="2"/>
  <c r="T14" i="2"/>
  <c r="T13" i="2"/>
  <c r="T12" i="2"/>
  <c r="T11" i="2"/>
  <c r="T10" i="2"/>
  <c r="T9" i="2"/>
  <c r="T8" i="2"/>
  <c r="T7" i="2"/>
  <c r="T6" i="2"/>
  <c r="T5" i="2"/>
  <c r="L24" i="2"/>
  <c r="L23" i="2"/>
  <c r="L22" i="2"/>
  <c r="L21" i="2"/>
  <c r="L20" i="2"/>
  <c r="L19" i="2"/>
  <c r="L18" i="2"/>
  <c r="L17" i="2"/>
  <c r="L16" i="2"/>
  <c r="L15" i="2"/>
  <c r="L14" i="2"/>
  <c r="L13" i="2"/>
  <c r="L12" i="2"/>
  <c r="L11" i="2"/>
  <c r="L10" i="2"/>
  <c r="L9" i="2"/>
  <c r="L8" i="2"/>
  <c r="L7" i="2"/>
  <c r="L6" i="2"/>
  <c r="L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H3" i="1"/>
  <c r="H5" i="1"/>
  <c r="T3" i="1"/>
  <c r="I3" i="1"/>
  <c r="L3" i="1"/>
  <c r="T24" i="1"/>
  <c r="T23" i="1"/>
  <c r="T22" i="1"/>
  <c r="T21" i="1"/>
  <c r="T20" i="1"/>
  <c r="T19" i="1"/>
  <c r="T18" i="1"/>
  <c r="T17" i="1"/>
  <c r="T16" i="1"/>
  <c r="T15" i="1"/>
  <c r="T14" i="1"/>
  <c r="T13" i="1"/>
  <c r="T12" i="1"/>
  <c r="T11" i="1"/>
  <c r="T10" i="1"/>
  <c r="T9" i="1"/>
  <c r="T8" i="1"/>
  <c r="T7" i="1"/>
  <c r="T6" i="1"/>
  <c r="T5" i="1"/>
  <c r="I24" i="1"/>
  <c r="K24" i="1" s="1"/>
  <c r="L24" i="1"/>
  <c r="I23" i="1"/>
  <c r="K23" i="1" s="1"/>
  <c r="L23" i="1"/>
  <c r="I22" i="1"/>
  <c r="K22" i="1" s="1"/>
  <c r="L22" i="1"/>
  <c r="I21" i="1"/>
  <c r="K21" i="1" s="1"/>
  <c r="L21" i="1"/>
  <c r="I20" i="1"/>
  <c r="K20" i="1" s="1"/>
  <c r="L20" i="1"/>
  <c r="I19" i="1"/>
  <c r="K19" i="1" s="1"/>
  <c r="L19" i="1"/>
  <c r="I18" i="1"/>
  <c r="K18" i="1" s="1"/>
  <c r="L18" i="1"/>
  <c r="I17" i="1"/>
  <c r="K17" i="1" s="1"/>
  <c r="L17" i="1"/>
  <c r="I16" i="1"/>
  <c r="K16" i="1" s="1"/>
  <c r="L16" i="1"/>
  <c r="I15" i="1"/>
  <c r="K15" i="1" s="1"/>
  <c r="L15" i="1"/>
  <c r="I14" i="1"/>
  <c r="K14" i="1" s="1"/>
  <c r="L14" i="1"/>
  <c r="I13" i="1"/>
  <c r="K13" i="1" s="1"/>
  <c r="L13" i="1"/>
  <c r="I12" i="1"/>
  <c r="K12" i="1" s="1"/>
  <c r="L12" i="1"/>
  <c r="I11" i="1"/>
  <c r="K11" i="1" s="1"/>
  <c r="L11" i="1"/>
  <c r="I10" i="1"/>
  <c r="K10" i="1" s="1"/>
  <c r="L10" i="1"/>
  <c r="I9" i="1"/>
  <c r="K9" i="1" s="1"/>
  <c r="L9" i="1"/>
  <c r="I8" i="1"/>
  <c r="K8" i="1" s="1"/>
  <c r="L8" i="1"/>
  <c r="I7" i="1"/>
  <c r="K7" i="1" s="1"/>
  <c r="L7" i="1"/>
  <c r="I6" i="1"/>
  <c r="K6" i="1" s="1"/>
  <c r="L6" i="1"/>
  <c r="I5" i="1"/>
  <c r="K5" i="1" s="1"/>
  <c r="L5" i="1"/>
  <c r="H24" i="1"/>
  <c r="H23" i="1"/>
  <c r="H22" i="1"/>
  <c r="H21" i="1"/>
  <c r="H20" i="1"/>
  <c r="H19" i="1"/>
  <c r="H18" i="1"/>
  <c r="H17" i="1"/>
  <c r="H16" i="1"/>
  <c r="H15" i="1"/>
  <c r="H14" i="1"/>
  <c r="H13" i="1"/>
  <c r="H12" i="1"/>
  <c r="H11" i="1"/>
  <c r="H10" i="1"/>
  <c r="H9" i="1"/>
  <c r="H8" i="1"/>
  <c r="H7" i="1"/>
  <c r="H6" i="1"/>
  <c r="S24" i="6"/>
  <c r="S23" i="6"/>
  <c r="S22" i="6"/>
  <c r="S21" i="6"/>
  <c r="S20" i="6"/>
  <c r="S19" i="6"/>
  <c r="S18" i="6"/>
  <c r="S17" i="6"/>
  <c r="S16" i="6"/>
  <c r="S15" i="6"/>
  <c r="S14" i="6"/>
  <c r="S13" i="6"/>
  <c r="S12" i="6"/>
  <c r="S11" i="6"/>
  <c r="S10" i="6"/>
  <c r="S9" i="6"/>
  <c r="S8" i="6"/>
  <c r="S7" i="6"/>
  <c r="S6" i="6"/>
  <c r="S5" i="6"/>
  <c r="S24" i="5"/>
  <c r="S23" i="5"/>
  <c r="S22" i="5"/>
  <c r="S21" i="5"/>
  <c r="S20" i="5"/>
  <c r="S19" i="5"/>
  <c r="S18" i="5"/>
  <c r="S17" i="5"/>
  <c r="S16" i="5"/>
  <c r="S15" i="5"/>
  <c r="S14" i="5"/>
  <c r="S13" i="5"/>
  <c r="S12" i="5"/>
  <c r="S11" i="5"/>
  <c r="S10" i="5"/>
  <c r="S9" i="5"/>
  <c r="S8" i="5"/>
  <c r="S7" i="5"/>
  <c r="S6" i="5"/>
  <c r="S5" i="5"/>
  <c r="S24" i="4"/>
  <c r="S23" i="4"/>
  <c r="S22" i="4"/>
  <c r="S21" i="4"/>
  <c r="S20" i="4"/>
  <c r="S19" i="4"/>
  <c r="S18" i="4"/>
  <c r="S17" i="4"/>
  <c r="S16" i="4"/>
  <c r="S15" i="4"/>
  <c r="S14" i="4"/>
  <c r="S13" i="4"/>
  <c r="S12" i="4"/>
  <c r="S11" i="4"/>
  <c r="S10" i="4"/>
  <c r="S9" i="4"/>
  <c r="S8" i="4"/>
  <c r="S7" i="4"/>
  <c r="S6" i="4"/>
  <c r="S5" i="4"/>
  <c r="S24" i="3"/>
  <c r="S23" i="3"/>
  <c r="S22" i="3"/>
  <c r="S21" i="3"/>
  <c r="S20" i="3"/>
  <c r="S19" i="3"/>
  <c r="S18" i="3"/>
  <c r="S17" i="3"/>
  <c r="S16" i="3"/>
  <c r="S15" i="3"/>
  <c r="S14" i="3"/>
  <c r="S13" i="3"/>
  <c r="S12" i="3"/>
  <c r="S11" i="3"/>
  <c r="S10" i="3"/>
  <c r="S9" i="3"/>
  <c r="S8" i="3"/>
  <c r="S7" i="3"/>
  <c r="S6" i="3"/>
  <c r="S5" i="3"/>
  <c r="S24" i="2"/>
  <c r="S23" i="2"/>
  <c r="S22" i="2"/>
  <c r="S21" i="2"/>
  <c r="S20" i="2"/>
  <c r="S19" i="2"/>
  <c r="S18" i="2"/>
  <c r="S17" i="2"/>
  <c r="S16" i="2"/>
  <c r="S15" i="2"/>
  <c r="S14" i="2"/>
  <c r="S13" i="2"/>
  <c r="S12" i="2"/>
  <c r="S11" i="2"/>
  <c r="S10" i="2"/>
  <c r="S9" i="2"/>
  <c r="S8" i="2"/>
  <c r="S7" i="2"/>
  <c r="S6" i="2"/>
  <c r="S5" i="2"/>
  <c r="S24" i="1"/>
  <c r="S23" i="1"/>
  <c r="S22" i="1"/>
  <c r="S21" i="1"/>
  <c r="S20" i="1"/>
  <c r="S19" i="1"/>
  <c r="S18" i="1"/>
  <c r="S17" i="1"/>
  <c r="S16" i="1"/>
  <c r="S15" i="1"/>
  <c r="S14" i="1"/>
  <c r="S13" i="1"/>
  <c r="S12" i="1"/>
  <c r="S11" i="1"/>
  <c r="S10" i="1"/>
  <c r="S9" i="1"/>
  <c r="S8" i="1"/>
  <c r="S7" i="1"/>
  <c r="S6" i="1"/>
  <c r="S5" i="1"/>
  <c r="V24" i="6" l="1"/>
  <c r="W24" i="6" s="1"/>
  <c r="U24" i="6"/>
  <c r="U23" i="6"/>
  <c r="V23" i="6"/>
  <c r="W23" i="6" s="1"/>
  <c r="U22" i="6"/>
  <c r="V22" i="6"/>
  <c r="W22" i="6" s="1"/>
  <c r="V21" i="6"/>
  <c r="W21" i="6" s="1"/>
  <c r="U21" i="6"/>
  <c r="V20" i="6"/>
  <c r="W20" i="6" s="1"/>
  <c r="U20" i="6"/>
  <c r="U19" i="6"/>
  <c r="V19" i="6"/>
  <c r="W19" i="6" s="1"/>
  <c r="U18" i="6"/>
  <c r="V18" i="6"/>
  <c r="W18" i="6" s="1"/>
  <c r="U17" i="6"/>
  <c r="V17" i="6"/>
  <c r="W17" i="6" s="1"/>
  <c r="U16" i="6"/>
  <c r="V16" i="6"/>
  <c r="W16" i="6" s="1"/>
  <c r="U15" i="6"/>
  <c r="V15" i="6"/>
  <c r="W15" i="6" s="1"/>
  <c r="U14" i="6"/>
  <c r="V14" i="6"/>
  <c r="W14" i="6" s="1"/>
  <c r="V13" i="6"/>
  <c r="W13" i="6" s="1"/>
  <c r="U13" i="6"/>
  <c r="U12" i="6"/>
  <c r="V12" i="6"/>
  <c r="W12" i="6" s="1"/>
  <c r="U11" i="6"/>
  <c r="V11" i="6"/>
  <c r="W11" i="6" s="1"/>
  <c r="U10" i="6"/>
  <c r="V10" i="6"/>
  <c r="W10" i="6" s="1"/>
  <c r="U9" i="6"/>
  <c r="V9" i="6"/>
  <c r="W9" i="6" s="1"/>
  <c r="U8" i="6"/>
  <c r="V8" i="6"/>
  <c r="W8" i="6" s="1"/>
  <c r="U7" i="6"/>
  <c r="V7" i="6"/>
  <c r="W7" i="6" s="1"/>
  <c r="U6" i="6"/>
  <c r="V6" i="6"/>
  <c r="W6" i="6" s="1"/>
  <c r="V5" i="6"/>
  <c r="W5" i="6" s="1"/>
  <c r="U5" i="6"/>
  <c r="U24" i="4"/>
  <c r="V24" i="4"/>
  <c r="W24" i="4" s="1"/>
  <c r="U23" i="4"/>
  <c r="V23" i="4"/>
  <c r="W23" i="4" s="1"/>
  <c r="U22" i="4"/>
  <c r="V22" i="4"/>
  <c r="W22" i="4" s="1"/>
  <c r="U21" i="4"/>
  <c r="V21" i="4"/>
  <c r="W21" i="4" s="1"/>
  <c r="U20" i="4"/>
  <c r="V20" i="4"/>
  <c r="W20" i="4" s="1"/>
  <c r="U19" i="4"/>
  <c r="V19" i="4"/>
  <c r="W19" i="4" s="1"/>
  <c r="V18" i="4"/>
  <c r="W18" i="4" s="1"/>
  <c r="U18" i="4"/>
  <c r="U17" i="4"/>
  <c r="V17" i="4"/>
  <c r="W17" i="4" s="1"/>
  <c r="U16" i="4"/>
  <c r="V16" i="4"/>
  <c r="W16" i="4" s="1"/>
  <c r="U15" i="4"/>
  <c r="V15" i="4"/>
  <c r="W15" i="4" s="1"/>
  <c r="U14" i="4"/>
  <c r="V14" i="4"/>
  <c r="W14" i="4" s="1"/>
  <c r="U13" i="4"/>
  <c r="V13" i="4"/>
  <c r="W13" i="4" s="1"/>
  <c r="V12" i="4"/>
  <c r="W12" i="4" s="1"/>
  <c r="U12" i="4"/>
  <c r="U11" i="4"/>
  <c r="V11" i="4"/>
  <c r="W11" i="4" s="1"/>
  <c r="U10" i="4"/>
  <c r="V10" i="4"/>
  <c r="W10" i="4" s="1"/>
  <c r="V9" i="4"/>
  <c r="W9" i="4" s="1"/>
  <c r="U9" i="4"/>
  <c r="V8" i="4"/>
  <c r="W8" i="4" s="1"/>
  <c r="U8" i="4"/>
  <c r="U7" i="4"/>
  <c r="V7" i="4"/>
  <c r="W7" i="4" s="1"/>
  <c r="V6" i="4"/>
  <c r="W6" i="4" s="1"/>
  <c r="U6" i="4"/>
  <c r="U5" i="4"/>
  <c r="V5" i="4"/>
  <c r="W5" i="4" s="1"/>
  <c r="V24" i="5"/>
  <c r="W24" i="5" s="1"/>
  <c r="U24" i="5"/>
  <c r="V23" i="5"/>
  <c r="W23" i="5" s="1"/>
  <c r="U23" i="5"/>
  <c r="U22" i="5"/>
  <c r="V22" i="5"/>
  <c r="W22" i="5" s="1"/>
  <c r="U21" i="5"/>
  <c r="V21" i="5"/>
  <c r="W21" i="5" s="1"/>
  <c r="U20" i="5"/>
  <c r="V20" i="5"/>
  <c r="W20" i="5" s="1"/>
  <c r="V19" i="5"/>
  <c r="W19" i="5" s="1"/>
  <c r="U19" i="5"/>
  <c r="V18" i="5"/>
  <c r="W18" i="5" s="1"/>
  <c r="U18" i="5"/>
  <c r="V17" i="5"/>
  <c r="W17" i="5" s="1"/>
  <c r="U17" i="5"/>
  <c r="V16" i="5"/>
  <c r="W16" i="5" s="1"/>
  <c r="U16" i="5"/>
  <c r="V15" i="5"/>
  <c r="W15" i="5" s="1"/>
  <c r="U15" i="5"/>
  <c r="U14" i="5"/>
  <c r="V14" i="5"/>
  <c r="W14" i="5" s="1"/>
  <c r="U13" i="5"/>
  <c r="V13" i="5"/>
  <c r="W13" i="5" s="1"/>
  <c r="V12" i="5"/>
  <c r="W12" i="5" s="1"/>
  <c r="U12" i="5"/>
  <c r="U11" i="5"/>
  <c r="V11" i="5"/>
  <c r="W11" i="5" s="1"/>
  <c r="V10" i="5"/>
  <c r="W10" i="5" s="1"/>
  <c r="U10" i="5"/>
  <c r="V9" i="5"/>
  <c r="W9" i="5" s="1"/>
  <c r="U9" i="5"/>
  <c r="U8" i="5"/>
  <c r="V8" i="5"/>
  <c r="W8" i="5" s="1"/>
  <c r="V7" i="5"/>
  <c r="W7" i="5" s="1"/>
  <c r="U7" i="5"/>
  <c r="U6" i="5"/>
  <c r="V6" i="5"/>
  <c r="W6" i="5" s="1"/>
  <c r="U5" i="5"/>
  <c r="V5" i="5"/>
  <c r="W5" i="5" s="1"/>
  <c r="V24" i="3"/>
  <c r="W24" i="3" s="1"/>
  <c r="U24" i="3"/>
  <c r="V23" i="3"/>
  <c r="W23" i="3" s="1"/>
  <c r="U23" i="3"/>
  <c r="V22" i="3"/>
  <c r="W22" i="3" s="1"/>
  <c r="U22" i="3"/>
  <c r="V21" i="3"/>
  <c r="W21" i="3" s="1"/>
  <c r="U21" i="3"/>
  <c r="V20" i="3"/>
  <c r="W20" i="3" s="1"/>
  <c r="U20" i="3"/>
  <c r="U19" i="3"/>
  <c r="V19" i="3"/>
  <c r="W19" i="3" s="1"/>
  <c r="V18" i="3"/>
  <c r="W18" i="3" s="1"/>
  <c r="U18" i="3"/>
  <c r="V17" i="3"/>
  <c r="W17" i="3" s="1"/>
  <c r="U17" i="3"/>
  <c r="V16" i="3"/>
  <c r="W16" i="3" s="1"/>
  <c r="U16" i="3"/>
  <c r="V15" i="3"/>
  <c r="W15" i="3" s="1"/>
  <c r="U15" i="3"/>
  <c r="U14" i="3"/>
  <c r="V14" i="3"/>
  <c r="W14" i="3" s="1"/>
  <c r="U13" i="3"/>
  <c r="V13" i="3"/>
  <c r="W13" i="3" s="1"/>
  <c r="V12" i="3"/>
  <c r="W12" i="3" s="1"/>
  <c r="U12" i="3"/>
  <c r="U11" i="3"/>
  <c r="V11" i="3"/>
  <c r="W11" i="3" s="1"/>
  <c r="V10" i="3"/>
  <c r="W10" i="3" s="1"/>
  <c r="U10" i="3"/>
  <c r="V9" i="3"/>
  <c r="W9" i="3" s="1"/>
  <c r="U9" i="3"/>
  <c r="V8" i="3"/>
  <c r="W8" i="3" s="1"/>
  <c r="U8" i="3"/>
  <c r="V7" i="3"/>
  <c r="W7" i="3" s="1"/>
  <c r="U7" i="3"/>
  <c r="V6" i="3"/>
  <c r="W6" i="3" s="1"/>
  <c r="U6" i="3"/>
  <c r="V5" i="3"/>
  <c r="W5" i="3" s="1"/>
  <c r="U5" i="3"/>
  <c r="M23" i="3"/>
  <c r="M22" i="3"/>
  <c r="M21" i="3"/>
  <c r="M20" i="3"/>
  <c r="M19" i="3"/>
  <c r="M18" i="3"/>
  <c r="M16" i="3"/>
  <c r="M15" i="3"/>
  <c r="M14" i="3"/>
  <c r="M13" i="3"/>
  <c r="M10" i="3"/>
  <c r="M8" i="3"/>
  <c r="M6" i="3"/>
  <c r="M17" i="3"/>
  <c r="M11" i="3"/>
  <c r="M24" i="3"/>
  <c r="M12" i="3"/>
  <c r="M9" i="3"/>
  <c r="M7" i="3"/>
  <c r="M5" i="3"/>
  <c r="V24" i="2"/>
  <c r="W24" i="2" s="1"/>
  <c r="U24" i="2"/>
  <c r="U23" i="2"/>
  <c r="V23" i="2"/>
  <c r="W23" i="2" s="1"/>
  <c r="V22" i="2"/>
  <c r="W22" i="2" s="1"/>
  <c r="U22" i="2"/>
  <c r="V21" i="2"/>
  <c r="W21" i="2" s="1"/>
  <c r="U21" i="2"/>
  <c r="V20" i="2"/>
  <c r="W20" i="2" s="1"/>
  <c r="U20" i="2"/>
  <c r="U19" i="2"/>
  <c r="V19" i="2"/>
  <c r="W19" i="2" s="1"/>
  <c r="V18" i="2"/>
  <c r="W18" i="2" s="1"/>
  <c r="U18" i="2"/>
  <c r="V17" i="2"/>
  <c r="W17" i="2" s="1"/>
  <c r="U17" i="2"/>
  <c r="V16" i="2"/>
  <c r="W16" i="2" s="1"/>
  <c r="U16" i="2"/>
  <c r="V15" i="2"/>
  <c r="W15" i="2" s="1"/>
  <c r="U15" i="2"/>
  <c r="U14" i="2"/>
  <c r="V14" i="2"/>
  <c r="W14" i="2" s="1"/>
  <c r="U13" i="2"/>
  <c r="V13" i="2"/>
  <c r="W13" i="2" s="1"/>
  <c r="U12" i="2"/>
  <c r="V12" i="2"/>
  <c r="W12" i="2" s="1"/>
  <c r="V11" i="2"/>
  <c r="W11" i="2" s="1"/>
  <c r="U11" i="2"/>
  <c r="V10" i="2"/>
  <c r="W10" i="2" s="1"/>
  <c r="U10" i="2"/>
  <c r="V9" i="2"/>
  <c r="W9" i="2" s="1"/>
  <c r="U9" i="2"/>
  <c r="U8" i="2"/>
  <c r="V8" i="2"/>
  <c r="W8" i="2" s="1"/>
  <c r="V7" i="2"/>
  <c r="W7" i="2" s="1"/>
  <c r="U7" i="2"/>
  <c r="U6" i="2"/>
  <c r="V6" i="2"/>
  <c r="W6" i="2" s="1"/>
  <c r="V5" i="2"/>
  <c r="W5" i="2" s="1"/>
  <c r="U5" i="2"/>
  <c r="M19" i="2"/>
  <c r="M22" i="2"/>
  <c r="M18" i="2"/>
  <c r="M17" i="2"/>
  <c r="M14" i="2"/>
  <c r="M10" i="2"/>
  <c r="M20" i="2"/>
  <c r="M7" i="2"/>
  <c r="M21" i="2"/>
  <c r="M16" i="2"/>
  <c r="M13" i="2"/>
  <c r="M9" i="2"/>
  <c r="M6" i="2"/>
  <c r="M23" i="2"/>
  <c r="M15" i="2"/>
  <c r="M11" i="2"/>
  <c r="M8" i="2"/>
  <c r="M5" i="2"/>
  <c r="M24" i="2"/>
  <c r="M12" i="2"/>
  <c r="M24" i="1"/>
  <c r="M23" i="1"/>
  <c r="M22" i="1"/>
  <c r="M21" i="1"/>
  <c r="M20" i="1"/>
  <c r="M19" i="1"/>
  <c r="M18" i="1"/>
  <c r="M17" i="1"/>
  <c r="M16" i="1"/>
  <c r="M15" i="1"/>
  <c r="M14" i="1"/>
  <c r="M13" i="1"/>
  <c r="M12" i="1"/>
  <c r="M11" i="1"/>
  <c r="M10" i="1"/>
  <c r="M9" i="1"/>
  <c r="M8" i="1"/>
  <c r="M7" i="1"/>
  <c r="M6" i="1"/>
  <c r="M5" i="1"/>
  <c r="U24" i="1"/>
  <c r="V24" i="1"/>
  <c r="W24" i="1" s="1"/>
  <c r="U23" i="1"/>
  <c r="V23" i="1"/>
  <c r="W23" i="1" s="1"/>
  <c r="U22" i="1"/>
  <c r="V22" i="1"/>
  <c r="W22" i="1" s="1"/>
  <c r="U21" i="1"/>
  <c r="V21" i="1"/>
  <c r="W21" i="1" s="1"/>
  <c r="U20" i="1"/>
  <c r="V20" i="1"/>
  <c r="W20" i="1" s="1"/>
  <c r="U19" i="1"/>
  <c r="V19" i="1"/>
  <c r="W19" i="1" s="1"/>
  <c r="U18" i="1"/>
  <c r="V18" i="1"/>
  <c r="W18" i="1" s="1"/>
  <c r="U17" i="1"/>
  <c r="V17" i="1"/>
  <c r="W17" i="1" s="1"/>
  <c r="U16" i="1"/>
  <c r="V16" i="1"/>
  <c r="W16" i="1" s="1"/>
  <c r="U15" i="1"/>
  <c r="V15" i="1"/>
  <c r="W15" i="1" s="1"/>
  <c r="U14" i="1"/>
  <c r="V14" i="1"/>
  <c r="W14" i="1" s="1"/>
  <c r="U13" i="1"/>
  <c r="V13" i="1"/>
  <c r="W13" i="1" s="1"/>
  <c r="U12" i="1"/>
  <c r="V12" i="1"/>
  <c r="W12" i="1" s="1"/>
  <c r="U11" i="1"/>
  <c r="V11" i="1"/>
  <c r="W11" i="1" s="1"/>
  <c r="U10" i="1"/>
  <c r="V10" i="1"/>
  <c r="W10" i="1" s="1"/>
  <c r="U9" i="1"/>
  <c r="V9" i="1"/>
  <c r="W9" i="1" s="1"/>
  <c r="U8" i="1"/>
  <c r="V8" i="1"/>
  <c r="W8" i="1" s="1"/>
  <c r="U7" i="1"/>
  <c r="V7" i="1"/>
  <c r="W7" i="1" s="1"/>
  <c r="U6" i="1"/>
  <c r="V6" i="1"/>
  <c r="W6" i="1" s="1"/>
  <c r="U5" i="1"/>
  <c r="V5" i="1"/>
  <c r="W5" i="1" s="1"/>
</calcChain>
</file>

<file path=xl/sharedStrings.xml><?xml version="1.0" encoding="utf-8"?>
<sst xmlns="http://schemas.openxmlformats.org/spreadsheetml/2006/main" count="517" uniqueCount="177">
  <si>
    <t>ARCC — Quarterly Fundamental Panel</t>
  </si>
  <si>
    <t>Extracted from SEC EDGAR  |  20 quarters  |  All $ in millions except per share</t>
  </si>
  <si>
    <t>Quarter</t>
  </si>
  <si>
    <t>Period End</t>
  </si>
  <si>
    <t>Filing Date</t>
  </si>
  <si>
    <t>Share Price
(at Filing)</t>
  </si>
  <si>
    <t>2Y Treasury
(at Filing)</t>
  </si>
  <si>
    <t>NAV / Share</t>
  </si>
  <si>
    <t>Total NAV
($mm)</t>
  </si>
  <si>
    <t>Total Debt
($mm)</t>
  </si>
  <si>
    <t>Shares
Outstanding</t>
  </si>
  <si>
    <t>NII / Share</t>
  </si>
  <si>
    <t>Div / Share</t>
  </si>
  <si>
    <t>Dividend
Coverage</t>
  </si>
  <si>
    <t>FV / Cost (%)</t>
  </si>
  <si>
    <t>Non-Accrual
(FV%)</t>
  </si>
  <si>
    <t>Non-Accrual
(Cost%)</t>
  </si>
  <si>
    <t>Tech
Concentration %</t>
  </si>
  <si>
    <t>Investments
at Cost ($mm)</t>
  </si>
  <si>
    <t>Investments
at FV ($mm)</t>
  </si>
  <si>
    <t>NII Quarterly
($mm)</t>
  </si>
  <si>
    <t>Q1'21</t>
  </si>
  <si>
    <t>3/31/2021</t>
  </si>
  <si>
    <t>2021-04-28</t>
  </si>
  <si>
    <t>Q2'21</t>
  </si>
  <si>
    <t>6/30/2021</t>
  </si>
  <si>
    <t>2021-07-28</t>
  </si>
  <si>
    <t>Q3'21</t>
  </si>
  <si>
    <t>9/30/2021</t>
  </si>
  <si>
    <t>2021-10-26</t>
  </si>
  <si>
    <t>Q4'21</t>
  </si>
  <si>
    <t>12/31/2021</t>
  </si>
  <si>
    <t>2022-02-09</t>
  </si>
  <si>
    <t>Q1'22</t>
  </si>
  <si>
    <t>3/31/2022</t>
  </si>
  <si>
    <t>2022-04-26</t>
  </si>
  <si>
    <t>Q2'22</t>
  </si>
  <si>
    <t>6/30/2022</t>
  </si>
  <si>
    <t>2022-07-26</t>
  </si>
  <si>
    <t>Q3'22</t>
  </si>
  <si>
    <t>9/30/2022</t>
  </si>
  <si>
    <t>2022-10-25</t>
  </si>
  <si>
    <t>Q4'22</t>
  </si>
  <si>
    <t>12/31/2022</t>
  </si>
  <si>
    <t>2023-02-07</t>
  </si>
  <si>
    <t>Q1'23</t>
  </si>
  <si>
    <t>3/31/2023</t>
  </si>
  <si>
    <t>2023-04-25</t>
  </si>
  <si>
    <t>Q2'23</t>
  </si>
  <si>
    <t>6/30/2023</t>
  </si>
  <si>
    <t>2023-07-25</t>
  </si>
  <si>
    <t>Q3'23</t>
  </si>
  <si>
    <t>9/30/2023</t>
  </si>
  <si>
    <t>2023-10-24</t>
  </si>
  <si>
    <t>Q4'23</t>
  </si>
  <si>
    <t>12/31/2023</t>
  </si>
  <si>
    <t>2024-02-07</t>
  </si>
  <si>
    <t>Q1'24</t>
  </si>
  <si>
    <t>3/31/2024</t>
  </si>
  <si>
    <t>2024-05-01</t>
  </si>
  <si>
    <t>Q2'24</t>
  </si>
  <si>
    <t>6/30/2024</t>
  </si>
  <si>
    <t>2024-07-30</t>
  </si>
  <si>
    <t>Q3'24</t>
  </si>
  <si>
    <t>9/30/2024</t>
  </si>
  <si>
    <t>2024-10-30</t>
  </si>
  <si>
    <t>Q4'24</t>
  </si>
  <si>
    <t>12/31/2024</t>
  </si>
  <si>
    <t>2025-02-05</t>
  </si>
  <si>
    <t>Q1'25</t>
  </si>
  <si>
    <t>3/31/2025</t>
  </si>
  <si>
    <t>2025-04-29</t>
  </si>
  <si>
    <t>Q2'25</t>
  </si>
  <si>
    <t>6/30/2025</t>
  </si>
  <si>
    <t>2025-07-29</t>
  </si>
  <si>
    <t>Q3'25</t>
  </si>
  <si>
    <t>9/30/2025</t>
  </si>
  <si>
    <t>2025-10-28</t>
  </si>
  <si>
    <t>Q4'25</t>
  </si>
  <si>
    <t>12/31/2025</t>
  </si>
  <si>
    <t>2026-02-04</t>
  </si>
  <si>
    <t>BXSL — Quarterly Fundamental Panel</t>
  </si>
  <si>
    <t>2021-05-12</t>
  </si>
  <si>
    <t>2021-08-10</t>
  </si>
  <si>
    <t>2021-11-12</t>
  </si>
  <si>
    <t>2022-02-28</t>
  </si>
  <si>
    <t>2022-05-12</t>
  </si>
  <si>
    <t>2022-08-11</t>
  </si>
  <si>
    <t>2022-11-10</t>
  </si>
  <si>
    <t>2023-02-27</t>
  </si>
  <si>
    <t>2023-05-10</t>
  </si>
  <si>
    <t>2023-08-09</t>
  </si>
  <si>
    <t>2023-11-08</t>
  </si>
  <si>
    <t>2024-02-28</t>
  </si>
  <si>
    <t>2024-05-08</t>
  </si>
  <si>
    <t>2024-08-07</t>
  </si>
  <si>
    <t>2024-11-12</t>
  </si>
  <si>
    <t>2025-02-26</t>
  </si>
  <si>
    <t>2025-05-07</t>
  </si>
  <si>
    <t>2025-08-06</t>
  </si>
  <si>
    <t>2025-11-10</t>
  </si>
  <si>
    <t>2026-02-25</t>
  </si>
  <si>
    <t>GBDC — Quarterly Fundamental Panel</t>
  </si>
  <si>
    <t>2021-05-10</t>
  </si>
  <si>
    <t>2021-08-09</t>
  </si>
  <si>
    <t>2021-11-29</t>
  </si>
  <si>
    <t>2022-05-10</t>
  </si>
  <si>
    <t>2022-08-09</t>
  </si>
  <si>
    <t>2022-11-21</t>
  </si>
  <si>
    <t>2023-02-08</t>
  </si>
  <si>
    <t>2023-05-08</t>
  </si>
  <si>
    <t>2023-08-07</t>
  </si>
  <si>
    <t>2023-11-20</t>
  </si>
  <si>
    <t>2024-02-05</t>
  </si>
  <si>
    <t>2024-05-06</t>
  </si>
  <si>
    <t>2024-08-05</t>
  </si>
  <si>
    <t>2024-11-19</t>
  </si>
  <si>
    <t>2025-02-04</t>
  </si>
  <si>
    <t>2025-05-05</t>
  </si>
  <si>
    <t>2025-08-04</t>
  </si>
  <si>
    <t>2025-11-18</t>
  </si>
  <si>
    <t>OBDC — Quarterly Fundamental Panel</t>
  </si>
  <si>
    <t>2021-05-05</t>
  </si>
  <si>
    <t>2021-08-04</t>
  </si>
  <si>
    <t>2021-11-03</t>
  </si>
  <si>
    <t>2022-02-23</t>
  </si>
  <si>
    <t>2022-05-04</t>
  </si>
  <si>
    <t>2022-08-03</t>
  </si>
  <si>
    <t>2022-11-02</t>
  </si>
  <si>
    <t>2023-02-22</t>
  </si>
  <si>
    <t>2024-02-21</t>
  </si>
  <si>
    <t>2024-11-06</t>
  </si>
  <si>
    <t>2025-02-19</t>
  </si>
  <si>
    <t>2025-11-05</t>
  </si>
  <si>
    <t>2026-02-18</t>
  </si>
  <si>
    <t>TCPC — Quarterly Fundamental Panel</t>
  </si>
  <si>
    <t>2021-08-02</t>
  </si>
  <si>
    <t>2022-02-24</t>
  </si>
  <si>
    <t>2022-11-03</t>
  </si>
  <si>
    <t>2023-02-28</t>
  </si>
  <si>
    <t>2023-05-04</t>
  </si>
  <si>
    <t>2023-08-03</t>
  </si>
  <si>
    <t>2023-11-02</t>
  </si>
  <si>
    <t>2024-02-29</t>
  </si>
  <si>
    <t>2025-02-27</t>
  </si>
  <si>
    <t>2025-05-08</t>
  </si>
  <si>
    <t>2025-08-07</t>
  </si>
  <si>
    <t>2025-11-06</t>
  </si>
  <si>
    <t>2026-02-27</t>
  </si>
  <si>
    <t>TSLX — Quarterly Fundamental Panel</t>
  </si>
  <si>
    <t>2021-05-04</t>
  </si>
  <si>
    <t>2021-08-03</t>
  </si>
  <si>
    <t>2021-11-02</t>
  </si>
  <si>
    <t>2022-02-17</t>
  </si>
  <si>
    <t>2022-05-03</t>
  </si>
  <si>
    <t>2022-08-02</t>
  </si>
  <si>
    <t>2022-11-01</t>
  </si>
  <si>
    <t>2023-02-16</t>
  </si>
  <si>
    <t>2024-02-15</t>
  </si>
  <si>
    <t>2024-07-31</t>
  </si>
  <si>
    <t>2024-11-05</t>
  </si>
  <si>
    <t>2025-02-13</t>
  </si>
  <si>
    <t>2025-04-30</t>
  </si>
  <si>
    <t>2025-07-30</t>
  </si>
  <si>
    <t>2025-11-04</t>
  </si>
  <si>
    <t>2026-02-12</t>
  </si>
  <si>
    <t>ARCC</t>
  </si>
  <si>
    <t>BXSL</t>
  </si>
  <si>
    <t>GBDC</t>
  </si>
  <si>
    <t>OBDC</t>
  </si>
  <si>
    <t>TCPC</t>
  </si>
  <si>
    <t>TSLX</t>
  </si>
  <si>
    <t>EBT excl unusual items</t>
  </si>
  <si>
    <t>Delta vs. NII</t>
  </si>
  <si>
    <t>EBTExU/Share</t>
  </si>
  <si>
    <t>EBTExU/Coverage</t>
  </si>
  <si>
    <t>允䅁䕁䅷䅁捁䅁䅁督睂䙁䄸督潂䝁䅅杣求䡁䅍睘療䡁䅕䅤䅁䅁䅙䅁䭁䅁䅁兑卂䕁䅍睑䅁䅁䅁䅁畁䅁䅁兓剂䙁䄸睑療䝁䄰兢療䝁䄴睘歂䝁䅫杤時䝁䅑党橂䝁䅷兙祂䝁䅕䅚䅁䅁䅅䅁䥁䅁䅁杒剂䑁䅁䅁䙁䅁䅁杂䅁䕁䅙兕䅁䅁䅉䅁啁䅁䅁睍癁䑁䅍免癁䑁䅉䅍祁䑁䅅䅁䑁䅁䅁䅇䅁䝁䅫兣時䝁䅕杙あ䙁䄸党㑂䝁䅍䅢䅁䍁䅉䅁㑁䅁䅁睉䩂䕁䄴杖䉂䕁䅷兓䕂䍁䅁杒噂䕁䄴睑啂䕁䅫睔佂䍁䅁䅕䉂䙁䅉兑乂䕁䅕䅖䙂䙁䅉䅁䕁䅁䅁杆䅁䑁䅉䅍祁䑁䅉兌睁䑁䅕兌睁䑁䅍䅁㕁䅁䅁䅆䅁䑁䅙睌穁䑁䅁睌祁䑁䅁杍硁䅁䅁睂䅁䉁䅙䅁祁䑁䅁杍ぁ䍁䄰䅍祁䍁䄰杍硁䅁䅁䅎䅁䉁䅑䅁穁䍁䄸睍硁䍁䄸杍睁䑁䅉䅎䅁䅁䅧䅁坁䅁䅁杍睁䑁䅉睍瑁䑁䅅免瑁䑁䅁䅏䅁䍁䄸䅁坁䅁䅁免祁䍁䄸睍硁䍁䄸杍睁䑁䅉杍䅁䅁䅳䅁啁䅁䅁兏癁䑁䅍䅍癁䑁䅉䅍祁䑁䅅䅁䩁䅁䅁䅆䅁䑁䅫睌穁䑁䅁睌祁䑁䅁杍祁䅁䅁充䅁䉁䅙䅁硁䑁䅉睌穁䑁䅅睌祁䑁䅁杍硁䅁䅁权䅁䉁䅙䅁硁䑁䅉睌穁䑁䅅睌祁䑁䅁杍穁䅁䅁䅄䅁䅁䅯䅁䍂䙁䅧睕䵂䅁䅁杇䅁䉁䅷䅁䩂䙁䅅睘啂䝁䄸䅤桂䝁䅷睘歂䝁䅕杙あ䅁䅁睉䅁䉁䅙䅁硁䑁䅉睌穁䑁䅅睌祁䑁䅁杍ぁ䅁䅁兄䅁䉁䅙䅁硁䑁䅉睌穁䑁䅅睌祁䑁䅁杍ㅁ䅁䅁杄䅁䉁䅑䅁穁䍁䄸睍硁䍁䄸杍睁䑁䅉杍䅁䅁䄸䅁坁䅁䅁杍睁䑁䅉兎瑁䑁䅁兎瑁䑁䅁睎䅁䍁䅣䅁啁䅁䅁李癁䑁䅍䅍癁䑁䅉䅍祁䑁䅉䅁允䅁䅁杊䅁䙁䅍杔䵂䙁䄸杢求䡁䅑睘灂䝁䄴杤求䡁䅍䅤時䝁䅫杢橂䅁䅁光䅁䉁䅑䅁㉁䍁䄸睍睁䍁䄸杍睁䑁䅉睍䅁䉁䅉䅁啁䅁䅁睍癁䑁䅍免癁䑁䅉䅍祁䑁䅍䅁呁䅁䅁杆䅁䑁䅉䅍祁䑁䅍兌睁䑁䅧兌睁䑁䅫䅁煁䅁䅁权䅁䕁䅣村䕂䕁䅍䅁捁䅁䅁杆䅁䑁䅉䅍祁䑁䅉兌睁䑁䅧兌睁䑁䅉䅁㥁䅁䅁杆䅁䑁䅉䅍祁䑁䅅兌睁䑁䅕兌睁䑁䅑䅁㑁䅁䅁䅆䅁䑁䅙睌穁䑁䅁睌祁䑁䅁杍ㅁ䅁䅁䅆䅁䉁䅑䅁㕁䍁䄸睍睁䍁䄸杍睁䑁䅉睍䅁䉁䅕䅁坁䅁䅁杍睁䑁䅉杍瑁䑁䅁䅏瑁䑁䅁睍䅁䍁䅫䅁坁䅁䅁杍睁䑁䅉免瑁䑁䅁兎瑁䑁䅁兎䅁䍁䅑䅁啁䅁䅁李癁䑁䅍䅍癁䑁䅉䅍祁䑁䅑䅁坁䅁䅁䅆䅁䑁䅫睌穁䑁䅁睌祁䑁䅁杍ぁ䅁䅁睆䅁䉁䅑䅁穁䍁䄸睍硁䍁䄸杍睁䑁䅉兎䅁䉁䅧䅁啁䅁䅁兏癁䑁䅍䅍癁䑁䅉䅍祁䑁䅕䅁婁䅁䅁杂䅁䕁䄴兑䅁䉁䅳䅁䭁䅁䅁睔䍂䕁䅑睑䅁䉁䄰䅁䭁䅁䅁䅖䑂䙁䅁睑䅁䉁䄴䅁坁䅁䅁杍睁䑁䅉䅎瑁䑁䅁䅏瑁䑁䅁睎䅁䍁䅳䅁䭁䅁䅁䅖呂䕁䅷䅗䅁䉁䄸䅁䍁䅁䅁䅁杁䅁䅁杆䅁䑁䅉䅍祁䑁䅍兌睁䑁䅧兌睁䑁䅍䅁⭁䅁䅁杆䅁䑁䅉䅍祁䑁䅑兌睁䑁䅕兌睁䑁䅅䅁㝁䅁䅁杆䅁䑁䅉䅍祁䑁䅕兌睁䑁䅧兌睁䑁䅙䅁獁䅁䅁杆䅁䑁䅉䅍祁䑁䅉兌睁䑁䅕兌睁䑁䅑䅁汁䅁䅁杆䅁䑁䅉䅍祁䑁䅑兌睁䑁䅕兌睁䑁䅧䅁流䅁䅁杆䅁䑁䅉䅍祁䑁䅅兌睁䑁䅧兌睁䑁䅑䅁潁䅁䅁杆䅁䑁䅉䅍祁䑁䅅兌硁䑁䅅兌睁䑁䅍䅁瑁䅁䅁杆䅁䑁䅉䅍祁䑁䅑兌硁䑁䅅兌睁䑁䅙䅁睁䅁䅁杆䅁䑁䅉䅍祁䑁䅉兌硁䑁䅅兌睁䑁䅉䅁畁䅁䅁杆䅁䑁䅉䅍祁䑁䅕兌硁䑁䅅兌睁䑁䅕䅁硁䅁䅁杆䅁䑁䅉䅍祁䑁䅉兌睁䑁䅉兌祁䑁䅍䅁祁䅁䅁杆䅁䑁䅉䅍祁䑁䅍兌睁䑁䅉兌祁䑁䅉䅁穁䅁䅁杆䅁䑁䅉䅍祁䑁䅕兌睁䑁䅉兌硁䑁䅫䅁ㅁ䅁䅁杆䅁䑁䅉䅍祁䑁䅙兌睁䑁䅉兌硁䑁䅧䅁㉁䅁䅁杆䅁䑁䅉䅍祁䑁䅍兌睁䑁䅕兌硁䑁䅁䅁㍁䅁䅁杆䅁䑁䅉䅍祁䑁䅍兌睁䑁䅕兌睁䑁䅧䅁㙁䅁䅁杆䅁䑁䅉䅍祁䑁䅅兌睁䑁䅧兌睁䑁䅍䅁㡁䅁䅁杆䅁䑁䅉䅍祁䑁䅅兌硁䑁䅅兌睁䑁䅉䅁⽁䅁䅁杆䅁䑁䅉䅍祁䑁䅉兌硁䑁䅅兌睁䑁䅅䅁䅂䅁䅁杆䅁䑁䅉䅍祁䑁䅍兌硁䑁䅅兌睁䑁䅉䅁䉂䅁䅁杆䅁䑁䅉䅍祁䑁䅑兌硁䑁䅅兌睁䑁䅕䅁䍂䅁䅁杆䅁䑁䅉䅍祁䑁䅕兌硁䑁䅅兌睁䑁䅑䅁䑂䅁䅁杆䅁䑁䅉䅍祁䑁䅉兌睁䑁䅉兌硁䑁䅣䅁䕂䅁䅁杆䅁䑁䅉䅍祁䑁䅍兌睁䑁䅉兌硁䑁䅙䅁䙂䅁䅁杆䅁䑁䅉䅍祁䑁䅑兌睁䑁䅉兌硁䑁䅕䅁䝂䅁䅁杆䅁䑁䅉䅍祁䑁䅕兌睁䑁䅉兌硁䑁䅍䅁䡂䅁䅁杆䅁䑁䅉䅍祁䑁䅙兌睁䑁䅉兌硁䑁䅉䅁䥂䅁䅁杆䅁䑁䅉䅍祁䑁䅑兌睁䑁䅣兌穁䑁䅅䅁䩂䅁䅁杆䅁䑁䅉䅍祁䑁䅕兌睁䑁䅣兌穁䑁䅁䅁䭂䅁䅁杆䅁䑁䅉䅍祁䑁䅕兌睁䑁䅑兌穁䑁䅁䅁䱂䅁䅁儵䅅䅁杷允䅁䅁䅕䅁䑁䅁䅷䅁䭁䅁䅁䅁䭁䅁䅅䅁䭁䅁䅉䅁䭁䅁䅍䅁䉁䅁䅁允䅁䅁䅯䅂䅁䅁杷允䅁䅁䅕䅁䑁䅁䅷䅁䭁䅁䅁䅁䭁䅁䅅䅁䭁䅁䅕䅁䭁䅁䅯䅁䉁䅁䅁允䅁䅁䅕児塲㍯㥁樲䴸䅉䅅䅁䕁䅁䅁睁䵁䅁䅁权捁䅁䅁权䝁䅁䅁权十䅁䅁允䅁䅁䅅䅁啁佁癨光䅯䅁䅁䍄䉁䅁䅁兂䅁䅁䅍䅄䅁䅁䅯䅁䅁䅁䅯允䅁䅁䅯兂䅁䅁䅯兆䅁䅁䅅䅁䉁䅁䅁兂㑃潈牘払敪睐杷允䅁䅁䅕䅁䑁䅁䅷䅁䭁䉁䅷䅁䭁䍁䅉䅁䭁䅁䅕䅁䭁䅁䅷䅁䉁䅁䅁允䅁䅁䅕䅁䅁䑁瑂䔹䵁䅉䅅䅁䕁䅁䅁睁䵁䅁䅁权晁䅁䅁权䝁䅁䅁权坁䅁䅁允䅁䅁䅅䅁啁䩁剔杨䅕䅁䅁䍄䉁䅁䅁兂䅁䅁䅍䅄䅁䅁䅯䅁䅁䅁䅯允䅁䅁䅯兂䅁䅁䅯睁䅁䅁䅅䅁䉁䅁䅁兂慃婭婭婭婮睐杷允䅁䅁䅕䅁䑁䅁䅷䅁䭁䉁䅯䅁䭁䍁䅉䅁䭁䅁䅕䅁䭁䅁䅷䅁䉁䅁䅁允䅁䅁䅕䅁䅁䩁㡧䕂䵅䅉䅅䅁䙁䅁䅁睁䵁䅁䅁权摁䅁䅁权橁䅁䅁权䙁䅁䅁权䭁䅁䅁允䅁䅁䅅䅁䙁䅁䅁䥁湂䙤䉰䍄䉁䅁䅁兂䅁䅁䅍䅄䅁䅁䅯睈䅁䅁䅯睉䅁䅁䅯兂䅁䅁䅯䅄䅁䅁䅅䅁䉁䅁䅁兂䅁䅁䅁猴㑍兑杷允䅁䅁䅕䅁䑁䅁䅷䅁䭁䉁䅯䅁䭁䅁䅅䅁䭁䅁䅕䅁䭁䅁䅣䅁䉁䅁䅁允䅁䅁䅕䅁䅁䅁䅁䐴䴸䅉䅅䅁䙁䅁䅁睁䵁䅁䅁权摁䅁䅁权䉁䅁䅁权䙁䅁䅁权䑁䅁䅁允䅁䅁䅅䅁䙁乁橥䑣䬰㤱⽍䍄䉁䅁䅁兂䅁䅁䅍䅄䅁䅁䅯睈䅁䅁䅯睉䅁䅁䅯兂䅁䅁䅯睁䅁䅁䅅䅁䉁䅁䅁兂䅁䅁䅁⽗睅兑杷允䅁䅁䅕䅁䑁䅁䅷䅁䭁䅁䅁䅁䭁䅁䅅䅁䭁䅁䅕䅁䭁䅁䅣䅁䉁䅁䅁允䅁䅁䅕灭婭婭婭吲䴸䅉䅅䅁䙁䅁䅁睁䵁䅁䅁权䅁䅁䅁权䉁䅁䅁权䙁䅁䅁权䱁䅁䅁允䅁䅁䅅䅁䙁䥁牘払敧摨⽳䍄䉁䅁䅁兂䅁䅁䅍䅄䅁䅁䅯䅁䅁䅁䅯允䅁䅁䅯兂䅁䅁䅯睅䅁䅁䅅䅁䉁䅁䅁兂㑃潈牘払敪睐杷允䅁䅁䅑䅁䑁䅁䅷䅁䭁䅁䅁䅁䭁䅁䅙䅁䭁䅁䄴䅁䉁䅁䅁允䅁䉁䅑䉃瀫杋䅁䅁䵁䅉䅅䅁䙁䅁䅁睁䵁䅁䅁权䅁䅁䅁权䉁䅁䅁权䙁䅁䅁权䩁䅁䅁允䅁䅁䅅䅁䙁䩁婱婭婭摭⽫䍄䉁䅁䅁兂䅁䅁䅍䅄䅁䅁䅯先䅁䅁䅯杉䅁䅁䅯兂䅁䅁䅯睎䅁䅁䅅䅁䉁䅁䅁兂䅁䅁䅁䕗䝅兑杷允䅁䅁䅑䅁䑁䅁䅷䅁䭁䅁䅁䅁䭁䅁䅙䅁䭁䅁䅧䅁䉁䅁䅁允䅁䉁䅑䭨焸䅊䅁䅁䵁䅉䅅䅁䕁䅁䅁睁䵁䅁䅁权䅁䅁䅁权䝁䅁䅁权塁䅁䅁允䅁䅁䅅䅁啁䩁瘯楫䅕䅁䅁䍄䉁䅁䅁兂䅁䅁䅍䅄䅁䅁䅯先䅁䅁䅯杉䅁䅁䅯兂䅁䅁䅯睍䅁䅁䅅䅁䉁䅁䅁兂䅁䅁䅁䱍䕷兑杷允䅁䅁䅕䅁䑁䅁䅷䅁䭁䅁䅁䅁䭁䅁䅙䅁䭁䅁䅕䅁䭁䅁䅍䅁䉁䅁䅁允䅁䅁䅯䅂䅁䅁杷允䅁䅁䅕䅁䑁䅁䅷䅁䭁䅁䅁䅁䭁䍁䅉䅁䭁䅁䅕䅁䭁䅁䅣䅁䉁䅁䅁允䅁䅁䅕䅁䅁䕁睁歁䵅䅉䅅䅁䙁䅁䅁睁䵁䅁䅁权慁䅁䅁权䉁䅁䅁权䙁䅁䅁权䱁䅁䅁允䅁䅁䅅䅁䙁䑁積積積⭍⽍䍄䉁䅁䅁兂䅁䅁䅍䅄䅁䅁䅯杈䅁䅁䅯允䅁䅁䅯兂䅁䅁䅯睄䅁䅁䅅䅁䉁䅁䅁兂穁積積積呐睐杷允䅁䅁䅑䅁䑁䅁䅷䅁䭁䅁䅁䅁䭁䅁䅙䅁䭁䅁䅍䅁䉁䅁䅁允䅁䉁䅑㤯䩫杇䅁䅁䵁䅉䅅䅁䙁䅁䅁睁䵁䅁䅁权捁䅁䅁权橁䅁䅁权䙁䅁䅁权允䅁䅁允䅁䅁䅅䅁䙁䅁䅁䅁奃啬䉚䍄䉁䅁䅁兂䅁䅁䅍䅄䅁䅁䅯杈䅁䅁䅯杉䅁䅁䅯兂䅁䅁䅯䅄䅁䅁䅅䅁䉁䅁䅁兂权楇搯䭒扶䅑杷允䅁䅁䅑䅁䑁䅁䅷䅁䭁䅁䅁䅁䭁䅁䅙䅁䭁䅁䅣䅁䉁䅁䅁允䅁䉁䅑啮䥨杇䅁䅁䵁䅉䅅䅁䙁䅁䅁睁䵁䅁䅁权䅁䅁䅁权䉁䅁䅁权䙁䅁䅁权允䅁䅁允䅁䅁䅅䅁䙁佁㙆䭆䠵搴⽯䍄䉁䅁䅁兂䅁䅁䅍䅄䅁䅁䅯杈䅁䅁䅯杉䅁䅁䅯兂䅁䅁䅯睄䅁䅁䅅䅁䉁䅁䅁兂啂㘴扗䑶割䅑杷允䅁䅁䅑䅁䑁䅁䅷䅁䭁䅁䅁䅁䭁䅁䅙䅁䭁䅁䅫䅁䉁䅁䅁允䅁䉁䅑剢却睇䅁䅁䵁䅉䅅䅁䙁䅁䅁睁䵁䅁䅁权敁䅁䅁权䉁䅁䅁权䙁䅁䅁权允䅁䅁允䅁䅁䅅䅁䙁䑁積積積㥍⽍䍄䉁䅁䅁兂䅁䅁䅍䅄䅁䅁䅯䅁䅁䅁䅯允䅁䅁䅯兂䅁䅁䅯䅄䅁䅁䅅䅁䉁䅁䅁兂㑃潈牘払敪睐杷允䅁䅁䅕䅁䑁䅁䅷䅁䭁䉁䅯䅁䭁䅁䅅䅁䭁䅁䅕䅁䭁䅁䅯䅁䉁䅁䅁允䅁䅁䅕䅁䅁䅁䅁䐴䴸䅉䅅䅁䙁䅁䅁睁䵁䅁䅁权䅁䅁䅁权䉁䅁䅁权䙁䅁䅁权乁䅁䅁允䅁䅁䅅䅁䙁䱁敧敨剴乵⼴䍄䉁䅁䅁兂䅁䅁䅍䅄䅁䅁䅯䅁䅁䅁䅯睉䅁䅁䅯兂䅁䅁䅯睂䅁䅁䅅䅁䉁䅁䅁兂䅁䅁䅁佤数兑杷允䅁䅁䅕䅁䑁䅁䅷䅁䭁䅁䅁䅁䭁䍁䅍䅁䭁䅁䅕䅁䭁䉁䅍䅁䉁䅁䅁允䅁䅁䅕䅁䅁䡁扗ず䵅䅉䅅䅁䙁䅁䅁睁䵁䅁䅁权䅁䅁䅁权䉁䅁䅁权䙁䅁䅁权佁䅁䅁允䅁䅁䅅䅁䙁䱁敧敨剴乵⼴䍄䉁䅁䅁兂䅁䅁䅍䅄䅁䅁䅯䅈䅁䅁䅯杉䅁䅁䅯兂䅁䅁䅯兄䅁䅁䅅䅁䉁䅁䅁兂䅁䅁䅁䍣⬳䅑杷允䅁䅁䅑䅁䑁䅁䅷䅁䭁䅁䅁䅁䭁䅁䅙䅁䭁䅁䅯䅁䉁䅁䅁允䅁䉁䅑㑅㉸睇䅁䅁䵁䅉䅅䅁䕁䅁䅁睁䵁䅁䅁权䅁䅁䅁权䝁䅁䅁权䱁䅁䅁允䅁䅁䅅䅁啁䙁丳砱䄴䅁䅁䍄䉁䅁䅁兂䅁䅁䅍䅄䅁䅁䅯杈䅁䅁䅯杉䅁䅁䅯兂䅁䅁䅯睁䅁䅁䅅䅁䉁䅁䅁兂扁㥌欰潦呢䅑杷允䅁䅁䅑䅁䑁䅁䅷䅁䭁䅁䅁䅁䭁䅁䅙䅁䭁䅁䅷䅁䉁䅁䅁允䅁䉁䅑伴睮光䅁䅁䵁䅉䅅䅁䕁䅁䅁睁䵁䅁䅁权䅁䅁䅁权䝁䅁䅁权乁䅁䅁允䅁䅁䅅䅁啁佁坴楧䅙䅁䅁䍄䉁䅁䅁兂䅁䅁䅍䅄䅁䅁䅯杇䅁䅁䅯允䅁䅁䅯兂䅁䅁䅯杄䅁䅁䅅䅁䉁䅁䅁兂歃䑣䬰㘱潐睐杷允䅁䅁䅕䅁䑁䅁䅷䅁䭁䉁䄴䅁䭁䅁䅅䅁䭁䅁䅕䅁䭁䉁䅕䅁䉁䅁䅁允䅁䅁䅕⽷潕䥘䌯吱䴸䅉䅅䅁䙁䅁䅁睁䵁䅁䅁权晁䅁䅁权橁䅁䅁权䙁䅁䅁权䩁䅁䅁允䅁䅁䅅䅁䙁䅁䅁䅁䩁吶䉎䍄䉁䅁䅁䅂䅁䅁䅍䅄䅁䅁䅯䅁䅁䅁䅯杂䅁䅁䅯䅅䅁䅁䅅䅁䉁䅁䅁䅆剂䠰摳䅁䅁䅁杷允䅁䅁䅕䅁䑁䅁䅷䅁䭁䉁䅷䅁䭁䍁䅉䅁䭁䅁䅕䅁䭁䅁䅧䅁䉁䅁䅁允䅁䅁䅕䅁䅁䝁瑃䔹䵁䅉䅅䅁䙁䅁䅁睁䵁䅁䅁权摁䅁䅁权橁䅁䅁权䙁䅁䅁权偁䅁䅁允䅁䅁䅅䅁䙁䅁䅁䥁湂噁䉴䍄䉁䅁䅁兂䅁䅁䅍䅄䅁䅁䅯杈䅁䅁䅯允䅁䅁䅯兂䅁䅁䅯睁䅁䅁䅅䅁䉁䅁䅁兂穁積積積呐睐杷允䅁䅁䅕䅁䑁䅁䅷䅁䭁䅁䅁䅁䭁䅁䅅䅁䭁䅁䅕䅁䭁䅁䄸䅁䉁䅁䅁允䅁䅁䅕児塲㍯㥁樲䴸䅉䅅䅁䕁䅁䅁睁䵁䅁䅁权䅁䅁䅁权䝁䅁䅁权偁䅁䅁允䅁䅁䅅䅁啁䅁穚桉䄰䅁䅁䍄䉁䅁䅁䅂䅁䅁䅍䅄䅁䅁䅯䅁䅁䅁䅯杂䅁䅁䅯杆䅁䅁䅅䅁䉁䅁䅁䅆慂煺歁䅁䅁䅁杷允䅁䅁䅑䅁䑁䅁䅷䅁䭁䉁䄰䅁䭁䅁䅙䅁䭁䅁䅳䅁䉁䅁䅁允䅁䉁䅑啊㕎睆䅁䅁䵁䅉䅅䅁䕁䅁䅁睁䵁䅁䅁权摁䅁䅁权䝁䅁䅁权佁䅁䅁允䅁䅁䅅䅁啁䍁㘳剤䄴䅁䅁䍄䉁䅁䅁兂䅁䅁䅍䅄䅁䅁䅯䅈䅁䅁䅯睉䅁䅁䅯兂䅁䅁䅯䅇䅁䅁䅅䅁䉁䅁䅁兂䅁䅁䅁愸卤兑杷允䅁䅁䅑䅁䑁䅁䅷䅁䭁䉁䅯䅁䭁䅁䅙䅁䭁䅁䅍䅁䉁䅁䅁允䅁䅁䅯睇䅁䅁杷允䅁䅁䅕䅁䑁䅁䅷䅁䭁䅁䅁䅁䭁䅁䅅䅁䭁䅁䅕䅁䭁䉁䅅䅁䉁䅁䅁允䅁䅁䅕場啯歲桦樲䴸䅉䅅䅁䕁䅁䅁睁䵁䅁䅁权䅁䅁䅁权䝁䅁䅁权剁䅁䅁允䅁䅁䅅䅁啁䱁杨䉉䄴䅁䅁䍄䉁䅁䅁兂䅁䅁䅍䅄䅁䅁䅯䅈䅁䅁䅯杉䅁䅁䅯兂䅁䅁䅯杄䅁䅁䅅䅁䉁䅁䅁兂䅁䅁䅁义㑲䅑杷允䅁䅁䅑䅁䑁䅁䅷䅁䭁䉁䅯䅁䭁䅁䅙䅁䭁䅁䅯䅁䉁䅁䅁允䅁䉁䅑⭂到权䅁䅁䵁䅉䅅䅁䕁䅁䅁睁䵁䅁䅁权晁䅁䅁权䝁䅁䅁权奁䅁䅁允䅁䅁䅅䅁啁偁潷公䅕䅁䅁䍄䉁䅁䅁兂䅁䅁䅍䅄䅁䅁䅯杇䅁䅁䅯允䅁䅁䅯兂䅁䅁䅯睄䅁䅁䅅䅁䉁䅁䅁兂㉄䙋偹癷杘睐杷允䅁䅁䅕䅁䑁䅁䅷䅁䭁䅁䅁䅁䭁䅁䅅䅁䭁䅁䅕䅁䭁䉁䅉䅁䉁䅁䅁允䅁䅁䅕䉵䘶ㄶ㑇樳䴸䅉䅅䅁䙁䅁䅁睁䵁䅁䅁权捁䅁䅁权橁䅁䅁权䙁䅁䅁权䭁䅁䅁允䅁䅁䅅䅁䙁䅁䅁䅁灁つ䉎䍄䉁䅁䅁兂䅁䅁䅍䅄䅁䅁䅯杈䅁䅁䅯杉䅁䅁䅯兂䅁䅁䅯兄䅁䅁䅅䅁䉁䅁䅁兂ㅂ硫䕧煌材䅑杷允䅁䅁䅕䅁䑁䅁䅷䅁䭁䉁䄴䅁䭁䍁䅍䅁䭁䅁䅕䅁䭁䅁䄰䅁䉁䅁䅁允䅁䅁䅕㘴扗偰ㅥ啍䵅䅉䅅䅁䕁䅁䅁睁䵁䅁䅁权䅁䅁䅁权䝁䅁䅁权十䅁䅁允䅁䅁䅅䅁啁乁汩卤䅁䅁䅁䍄䉁䅁䅁兂䅁䅁䅍䅄䅁䅁䅯杇䅁䅁䅯允䅁䅁䅯兂䅁䅁䅯兆䅁䅁䅅䅁䉁䅁䅁兂浂浚浚浚浢睐杷允䅁䅁䅑䅁䑁䅁䅷䅁䭁䅁䅁䅁䭁䅁䅙䅁䭁䉁䅍䅁䉁䅁䅁允䅁䉁䅑䬲ㅖ䅉䅁䅁䵁䅉䅅䅁䕁䅁䅁睁䵁䅁䅁权晁䅁䅁权䝁䅁䅁权佁䅁䅁允䅁䅁䅅䅁啁佁捘兯䅕䅁䅁䍄䉁䅁䅁䅂䅁䅁䅍䅄䅁䅁䅯杇䅁䅁䅯杂䅁䅁䅯兄䅁䅁䅅䅁䉁䅁䅁䅆㡂畉䵯䅁䅁䅁杷允䅁䅁䅑䅁䑁䅁䅷䅁䭁䉁䄰䅁䭁䅁䅙䅁䭁䉁䅧䅁䉁䅁䅁允䅁䉁䅑畫祰杈䅁䅁䵁䅉䅅䅁䕁䅁䅁睁䵁䅁䅁权敁䅁䅁权䝁䅁䅁权䑁䅁䅁允䅁䅁䅅䅁啁䝁ㅂ兣䅍䅁䅁䍄䉁䅁䅁兂䅁䅁䅍䅄䅁䅁䅯䅁䅁䅁䅯允䅁䅁䅯兂䅁䅁䅯䅆䅁䅁䅅䅁䉁䅁䅁兂㑃潈牘払敪睐杷允䅁䅁䅕䅁䑁䅁䅷䅁䭁䉁䄰䅁䭁䍁䅉䅁䭁䅁䅕䅁䭁䍁䄸䅁䉁䅁䅁允䅁䅁䅕䅁䅁䕁㉁あ䵅䅉䅅䅁䕁䅁䅁睁䵁䅁䅁权䅁䅁䅁权䝁䅁䅁权噁䅁䅁允䅁䅁䅅䅁啁䉁琷䍏䅅䅁䅁䍄䉁䅁䅁䅂䅁䅁䅍䅄䅁䅁䅯杇䅁䅁䅯杂䅁䅁䅯䅄䅁䅁䅅䅁䉁䅁䅁䅆癁ㅱ䭫䅁䅁䅁杷允䅁䅁䅑䅁䑁䅁䅷䅁䭁䉁䅷䅁䭁䅁䅙䅁䭁䅁䅣䅁䉁䅁䅁允䅁䉁䅑睇䡍权䅁䅁䵁䅉䅅䅁䙁䅁䅁睁䵁䅁䅁权䅁䅁䅁权䉁䅁䅁权䙁䅁䅁权䥁䅁䅁允䅁䅁䅅䅁䙁䱁敧敨剴乵⼴䍄䉁䅁䅁兂䅁䅁䅍䅄䅁䅁䅯䅁䅁䅁䅯允䅁䅁䅯兂䅁䅁䅯杆䅁䅁䅅䅁䉁䅁䅁兂㑃潈牘払敪睐杷允䅁䅁䅑䅁䑁䅁䅷䅁䭁䉁䄰䅁䭁䅁䅙䅁䭁䉁䅁䅁䉁䅁䅁允䅁䉁䅑空别睆䅁䅁䵁䅉䅅䅁䙁䅁䅁睁䵁䅁䅁权䅁䅁䅁权䉁䅁䅁权䙁䅁䅁权塁䅁䅁允䅁䅁䅅䅁䙁䱁敧敨剴乵⼴䍄䉁䅁䅁兂䅁䅁䅍䅄䅁䅁䅯杇䅁䅁䅯睉䅁䅁䅯兂䅁䅁䅯兆䅁䅁䅅䅁䉁䅁䅁兂䅁䅁䅂⽔匱兑杷允䅁䅁䅕䅁䑁䅁䅷䅁䭁䉁䄰䅁䭁䍁䅍䅁䭁䅁䅕䅁䭁䅁䄴䅁䉁䅁䅁允䅁䅁䅕䅁䅁䩯獫歙䵅䅉䅅䅁䙁䅁䅁睁䵁䅁䅁权䅁䅁䅁权䉁䅁䅁权䙁䅁䅁权奁䅁䅁允䅁䅁䅅䅁䙁䱁敧敨剴乵⼴䍄䉁䅁䅁䅂䅁䅁䅍䅄䅁䅁䅯䅁䅁䅁䅯杂䅁䅁䅯䅇䅁䅁䅅䅁䉁䅁䅁䅆穄煎潁䅁䅁䅁杷允䅁䅁䅕䅁䑁䅁䅷䅁䭁䉁䅷䅁䭁䍁䅉䅁䭁䅁䅕䅁䭁䉁䅉䅁䉁䅁䅁允䅁䅁䅕䅁䅁乁浂唸䵁䅉䅅䅁䕁䅁䅁睁䵁䅁䅁权䅁䅁䅁权䝁䅁䅁权啁䅁䅁允䅁䅁䅅䅁啁䡁晰䍙䅫䅁䅁䍄䉁䅁䅁䅂䅁䅁䅍䅄䅁䅁䅯睈䅁䅁䅯杂䅁䅁䅯䅅䅁䅁䅅䅁䉁䅁䅁䅆潁潚䕷䅁䅁䅁杷允䅁䅁䅕䅁䑁䅁䅷䅁䭁䉁䄸䅁䭁䍁䅉䅁䭁䅁䅕䅁䭁䕁䅍䅁䉁䅁䅁允䅁䅁䅕䅁䅁䥁扃唶䵁䅉䅅䅁䕁䅁䅁睁䵁䅁䅁权䅁䅁䅁权䝁䅁䅁权婁䅁䅁允䅁䅁䅅䅁啁䥁乁祃䅯䅁䅁䍄䉁䅁䅁䅂䅁䅁䅍䅄䅁䅁䅯䅈䅁䅁䅯杂䅁䅁䅯杄䅁䅁䅅䅁䉁䅁䅁䅆噁牍偑䅁䅁䅁杷允䅁䅁䅑䅁䑁䅁䅷䅁䭁䉁䅯䅁䭁䅁䅙䅁䭁䅁䄴䅁䉁䅁䅁允䅁䉁䅑卮䥔兄䅁䅁䵁䅉䅅䅁䙁䅁䅁睁䵁䅁䅁权䅁䅁䅁权䉁䅁䅁权䙁䅁䅁权婁䅁䅁允䅁䅁䅅䅁䙁䱁敧敨剴乵⼴䍄䉁䅁䅁兂䅁䅁䅍䅄䅁䅁䅯杇䅁䅁䅯允䅁䅁䅯兂䅁䅁䅯睁䅁䅁䅅䅁䉁䅁䅁兂䅁䅁䅁䅁杄睐杷允䅁䅁䅕䅁䑁䅁䅷䅁䭁䉁䅯䅁䭁䍁䅍䅁䭁䅁䅕䅁䭁䉁䅫䅁䉁䅁䅁允䅁䅁䅕䅁䅁䙧䴰し䵅䅉䅅䅁䕁䅁䅁睁䵁䅁䅁权慁䅁䅁权䝁䅁䅁权䱁䅁䅁允䅁䅁䅅䅁啁䡁穹杨䅫䅁䅁䍄䉁䅁䅁䅂䅁䅁䅍䅄䅁䅁䅯睈䅁䅁䅯杂䅁䅁䅯权䅁䅁䅅䅁䉁䅁䅁䅆ぁ噥䕳䅁䅁䅁杷允䅁䅁䅕䅁䑁䅁䅷䅁䭁䉁䅯䅁䭁䅁䅅䅁䭁䅁䅕䅁䭁䅁䅷䅁䉁䅁䅁允䅁䅁䅕䡰㥁瑃橥䐶䴸䅉䅅䅁䙁䅁䅁睁䵁䅁䅁权慁䅁䅁权䉁䅁䅁权䙁䅁䅁权乁䅁䅁允䅁䅁䅅䅁䙁䭁睒児塲⭯⽧䍄䉁䅁䅁䅂䅁䅁䅍䅄䅁䅁䅯杇䅁䅁䅯杂䅁䅁䅯睂䅁䅁䅅䅁䉁䅁䅁权扁䅁䅁䍄䉁䅁䅁兂䅁䅁䅍䅄䅁䅁䅯先䅁䅁䅯允䅁䅁䅯兂䅁䅁䅯杅䅁䅁䅅䅁䉁䅁䅁兂晁敨剴䉵嘷睐杷允䅁䅁䅕䅁䑁䅁䅷䅁䭁䉁䅯䅁䭁䅁䅅䅁䭁䅁䅕䅁䭁䉁䅫䅁䉁䅁䅁允䅁䅁䅕䡰㥁瑃橥䐶䴸䅉䅅䅁䙁䅁䅁睁䵁䅁䅁权慁䅁䅁权䉁䅁䅁权䙁䅁䅁权䩁䅁䅁允䅁䅁䅅䅁䙁䅁䅁䅁䅁佁⽁䍄䉁䅁䅁兂䅁䅁䅍䅄䅁䅁䅯杇䅁䅁䅯允䅁䅁䅯兂䅁䅁䅯䅅䅁䅁䅅䅁䉁䅁䅁兂㉄䙋偹癷杘睐杷允䅁䅁䅕䅁䑁䅁䅷䅁䭁䉁䅷䅁䭁䍁䅉䅁䭁䅁䅕䅁䭁䅁䅫䅁䉁䅁䅁允䅁䅁䅕䅁䅁䥁歃〴䵁䅉䅅䅁䙁䅁䅁睁䵁䅁䅁权慁䅁䅁权䉁䅁䅁权䙁䅁䅁权剁䅁䅁允䅁䅁䅅䅁䙁偁潙䥘䌯改⽁䍄䉁䅁䅁兂䅁䅁䅍䅄䅁䅁䅯杇䅁䅁䅯杉䅁䅁䅯兂䅁䅁䅯䅇䅁䅁䅅䅁䉁䅁䅁兂䅁䅁䅁䄫䥉兑杷允䅁䅁䅕䅁䑁䅁䅷䅁䭁䉁䅷䅁䭁䍁䅉䅁䭁䅁䅕䅁䭁䅁䅣䅁䉁䅁䅁允䅁䅁䅕䅁䅁䥁慂䔵䵁䅉䅅䅁䕁䅁䅁睁䵁䅁䅁权慁䅁䅁权䝁䅁䅁权䩁䅁䅁允䅁䅁䅅䅁䭁䉁䅳䅁䵁䅉䅅䅁䙁䅁䅁睁䵁䅁䅁权捁䅁䅁权䉁䅁䅁权䙁䅁䅁权乁䅁䅁允䅁䅁䅅䅁䙁偁潙䥘䌯搹⽧䍄䉁䅁䅁兂䅁䅁䅍䅄䅁䅁䅯睈䅁䅁䅯杉䅁䅁䅯兂䅁䅁䅯䅒䅁䅁䅅䅁䉁䅁䅁兂䅁䅁䅁䉷樳䅑杷允䅁䅁䅑䅁䑁䅁䅷䅁䭁䉁䅯䅁䭁䅁䅙䅁䭁䅁䄸䅁䉁䅁䅁允䅁䉁䅑商摫权䅁䅁䵁䅉䅅䅁䕁䅁䅁睁䵁䅁䅁权慁䅁䅁权䝁䅁䅁权允䅁䅁允䅁䅁䅅䅁啁偁丸杇䅯䅁䅁䍄䉁䅁䅁䅂䅁䅁䅍䅄䅁䅁䅯杇䅁䅁䅯杂䅁䅁䅯充䅁䅁䅅䅁䉁䅁䅁䅆⽄剄䭯䅁䅁䅁杷允䅁䅁䅕䅁䑁䅁䅷䅁䭁䉁䅯䅁䭁䅁䅅䅁䭁䅁䅕䅁䭁䅁䅧䅁䉁䅁䅁允䅁䅁䅕䡰㥁瑃橥䐶䴸䅉䅅䅁䕁䅁䅁睁䵁䅁䅁权慁䅁䅁权䝁䅁䅁权䥁䅁䅁允䅁䅁䅅䅁啁䙁婱睡䅳䅁䅁䍄䉁䅁䅁䅂䅁䅁䅍䅄䅁䅁䅯杇䅁䅁䅯杂䅁䅁䅯䅆䅁䅁䅅䅁䉁䅁䅁䅆䙁䩋乣䅁䅁䅁杷允䅁䅁䅕䅁䑁䅁䅷䅁䭁䉁䄴䅁䭁䍁䅍䅁䭁䅁䅕䅁䭁䅁䅍䅁䉁䅁䅁允䅁䅁䅕䘫橐捚睄啋䵅䅉䅅䅁䙁䅁䅁睁䵁䅁䅁权䅁䅁䅁权楁䅁䅁权䙁䅁䅁权䩁䅁䅁允䅁䅁䅅䅁䙁䅁䅁䅁䅂䅇䉚䍄䉁䅁䅁兂䅁䅁䅍䅄䅁䅁䅯杇䅁䅁䅯允䅁䅁䅯兂䅁䅁䅯睅䅁䅁䅅䅁䉁䅁䅁兂穁積積積橐睐杷允䅁䅁䅑䅁䑁䅁䅷䅁䭁䉁䅯䅁䭁䅁䅙䅁䭁䉁䅍䅁䉁䅁䅁允䅁䉁䅑砶匫元䅁䅁䵁䅉䅅䅁䙁䅁䅁睁䵁䅁䅁权慁䅁䅁权䉁䅁䅁权䙁䅁䅁权十䅁䅁允䅁䅁䅅䅁䙁䝁浚浚浚畚⽙䍄䉁䅁䅁䅂䅁䅁䅍䅄䅁䅁䅯杇䅁䅁䅯杂䅁䅁䅯杅䅁䅁䅅䅁䉁䅁䅁䅆晄临䩳䅁䅁䅁杷允䅁䅁䅑䅁䑁䅁䅷䅁䭁䉁䅯䅁䭁䅁䅙䅁䭁䉁䅕䅁䉁䅁䅁允䅁䉁䅑坱䍚权䅁䅁䵁䅉䅅䅁䙁䅁䅁睁䵁䅁䅁权慁䅁䅁权䉁䅁䅁权䙁䅁䅁权坁䅁䅁允䅁䅁䅅䅁䙁䭁睒児塲⭯⽧䍄䉁䅁䅁䅂䅁䅁䅍䅄䅁䅁䅯杇䅁䅁䅯杂䅁䅁䅯杆䅁䅁䅅䅁䉁䅁䅁䅆䡁㍙䱧䅁䅁䅁杷允䅁䅁䅕䅁䑁䅁䅷䅁䭁䉁䅯䅁䭁䅁䅅䅁䭁䅁䅕䅁䭁䉁䅣䅁䉁䅁䅁允䅁䅁䅕䡰㥁瑃橥䐶䴸䅉䅅䅁䙁䅁䅁睁䵁䅁䅁权捁䅁䅁权䉁䅁䅁权䙁䅁䅁权允䅁䅁允䅁䅁䅅䅁䙁䑁積積積㥍⽍䍄䉁䅁䅁兂䅁䅁䅍䅄䅁䅁䅯杈䅁䅁䅯杉䅁䅁䅯兂䅁䅁䅯䅃䅁䅁䅅䅁䉁䅁䅁兂权楇搯书奺䅑杷允䅁䅁䅑䅁䑁䅁䅷䅁䭁䉁䅯䅁䭁䅁䅙䅁䭁䉁䅣䅁䉁䅁䅁允䅁䉁䅑㌳㘷睃䅁䅁䵁䅉䅅䅁䕁䅁䅁睁䵁䅁䅁权晁䅁䅁权䝁䅁䅁权剁䅁䅁允䅁䅁䅅䅁啁䱁敮眰䅑䅁䅁䍄䉁䅁䅁兂䅁䅁䅍䅄䅁䅁䅯䅈䅁䅁䅯允䅁䅁䅯兂䅁䅁䅯䅃䅁䅁䅅䅁䉁䅁䅁兂畃⭒㙆䭆堷睐杷允䅁䅁䅕䅁䑁䅁䅷䅁䭁䉁䅯䅁䭁䅁䅅䅁䭁䅁䅕䅁䭁䉁䅧䅁䉁䅁䅁允䅁䅁䅕䡰㥁瑃橥䐶䴸䅉䅅䅁䕁䅁䅁睁䵁䅁䅁权慁䅁䅁权䝁䅁䅁权奁䅁䅁允䅁䅁䅅䅁啁䱁㥁䅬䄰䅁䅁䍄䉁䅁䅁䅂䅁䅁䅍䅄䅁䅁䅯先䅁䅁䅯杂䅁䅁䅯䅄䅁䅁䅅䅁䉁䅁䅁䅆䕁樲塯䅁䅁䅁杷允䅁䅁䅕䅁䑁䅁䅷䅁䭁䉁䅯䅁䭁䅁䅅䅁䭁䅁䅕䅁䭁䉁䅑䅁䉁䅁䅁允䅁䅁䅕䡰㥁瑃橥䐶䴸䅉䅅䅁䙁䅁䅁睁䵁䅁䅁权摁䅁䅁权橁䅁䅁权䙁䅁䅁权坁䅁䅁允䅁䅁䅅䅁䙁䅁䅁䵁䭂䙒䉰䍄䉁䅁䅁䅂䅁䅁䅍䅄䅁䅁䅯杇䅁䅁䅯杂䅁䅁䅯兇䅁䅁䅅䅁䉁䅁䅁䅆捃㝅乫䅁䅁䅁杷允䅁䅁䅕䅁䑁䅁䅷䅁䭁䅁䅁䅁䭁䍁䅉䅁䭁䅁䅕䅁䭁䅁䅷䅁䉁䅁䅁允䅁䅁䅕䅁䅁佁㕁ぅ䵅䅉䅅䅁䙁䅁䅁睁䵁䅁䅁权摁䅁䅁权橁䅁䅁权䙁䅁䅁权婁䅁䅁允䅁䅁䅅䅁䙁䅁䅁䍁䱄䝭䉆䍄䉁䅁䅁兂䅁䅁䅍䅄䅁䅁䅯䅈䅁䅁䅯允䅁䅁䅯兂䅁䅁䅯睁䅁䅁䅅䅁䉁䅁䅁兂偃癷潕䥘匯睐杷允䅁䅁䅑䅁䑁䅁䅷䅁䭁䉁䅷䅁䭁䅁䅙䅁䭁䅁䅍䅁䉁䅁䅁允䅁䉁䅑祤㐳元䅁䅁䵁䅉䅅䅁䕁䅁䅁睁䵁䅁䅁权敁䅁䅁权䝁䅁䅁权坁䅁䅁允䅁䅁䅅䅁啁䙁䔴杇䅕䅁䅁䍄䉁䅁䅁兂䅁䅁䅍䅄䅁䅁䅯䅈䅁䅁䅯允䅁䅁䅯兂䅁䅁䅯睆䅁䅁䅅䅁䉁䅁䅁兂㉄䙋偹癷奘睐杷允䅁䅁䅕䅁䑁䅁䅷䅁䭁䉁䄰䅁䭁䍁䅉䅁䭁䅁䅕䅁䭁䑁䅕䅁䉁䅁䅁允䅁䅁䅕䅁䅁䕁敂啂䵅䅉䅅䅁䕁䅁䅁睁䵁䅁䅁权捁䅁䅁权䝁䅁䅁权允䅁䅁允䅁䅁䅅䅁啁䑁灡睌䅯䅁䅁䍄䉁䅁䅁兂䅁䅁䅍䅄䅁䅁䅯杇䅁䅁䅯睉䅁䅁䅯兂䅁䅁䅯䅅䅁䅁䅅䅁䉁䅁䅁兂䅁䅁䅃㑓噆兑杷允䅁䅁䅕䅁䑁䅁䅷䅁䭁䉁䅷䅁䭁䅁䅅䅁䭁䅁䅕䅁䭁䅁䅣䅁䉁䅁䅁允䅁䅁䅕㡪ㅌ䙋偹樰䴸䅉䅅䅁䙁䅁䅁睁䵁䅁䅁权慁䅁䅁权楁䅁䅁权䙁䅁䅁权十䅁䅁允䅁䅁䅅䅁䙁䅁䅁䅁潃䅆䉎䍄䉁䅁䅁兂䅁䅁䅍䅄䅁䅁䅯䅈䅁䅁䅯允䅁䅁䅯兂䅁䅁䅯元䅁䅁䅅䅁䉁䅁䅁兂偃癷潕䥘匯睐杷允䅁䅁䅑䅁䑁䅁䅷䅁䭁䉁䅷䅁䭁䅁䅙䅁䭁䅁䅯䅁䉁䅁䅁允䅁䉁䅑䝋椴权䅁䅁䵁䅉䅅䅁䕁䅁䅁睁䵁䅁䅁权捁䅁䅁权䝁䅁䅁权䵁䅁䅁允䅁䅁䅅䅁啁䡁偢睇䅯䅁䅁䍄䉁䅁䅁䅂䅁䅁䅍䅄䅁䅁䅯䅈䅁䅁䅯杂䅁䅁䅯睃䅁䅁䅅䅁䉁䅁䅁䅆㉁危䬸䅁䅁䅁杷允䅁䅁䅑䅁䑁䅁䅷䅁䭁䉁䅷䅁䭁䅁䅙䅁䭁䅁䄰䅁䉁䅁䅁允䅁䉁䅑䥩䅺睄䅁䅁䵁䅉䅅䅁䕁䅁䅁睁䵁䅁䅁权捁䅁䅁权䝁䅁䅁权䩁䅁䅁允䅁䅁䅅䅁啁䡁久兆䅯䅁䅁䍄䉁䅁䅁兂䅁䅁䅍䅄䅁䅁䅯杇䅁䅁䅯睉䅁䅁䅯兂䅁䅁䅯睄䅁䅁䅅䅁䉁䅁䅁兂䅁䅁䅂癷啬兑杷允䅁䅁䅕䅁䑁䅁䅷䅁䭁䉁䅷䅁䭁䅁䅅䅁䭁䅁䅕䅁䭁䅁䅯䅁䉁䅁䅁允䅁䅁䅕㡪ㅌ䙋偹樰䴸䅉䅅䅁䙁䅁䅁睁䵁䅁䅁权晁䅁䅁权橁䅁䅁权䙁䅁䅁权呁䅁䅁允䅁䅁䅅䅁䙁䅁䅁䅁䕁䑁䉚䍄䉁䅁䅁兂䅁䅁䅍䅄䅁䅁䅯䅈䅁䅁䅯允䅁䅁䅯兂䅁䅁䅯睃䅁䅁䅅䅁䉁䅁䅁兂穁積積積呐睐杷允䅁䅁䅕䅁䑁䅁䅷䅁䭁䉁䅷䅁䭁䅁䅅䅁䭁䅁䅕䅁䭁䅁䅷䅁䉁䅁䅁允䅁䅁䅕歲桦桥畓稱䴸䅉䅅䅁䙁䅁䅁睁䵁䅁䅁权捁䅁䅁权橁䅁䅁权䙁䅁䅁权噁䅁䅁允䅁䅁䅅䅁䙁䅁䅁䥁歃ぃ䉨䍄䉁䅁䅁䅂䅁䅁䅍䅄䅁䅁䅯先䅁䅁䅯杂䅁䅁䅯兆䅁䅁䅅䅁䉁䅁䅁䅆䕁樲塯䅁䅁䅁杷允䅁䅁䅕䅁䑁䅁䅷䅁䭁䉁䅷䅁䭁䅁䅅䅁䭁䅁䅕䅁䭁䅁䄴䅁䉁䅁䅁允䅁䅁䅕椹捨㡪ㅌ䐲䴸䅉䅅䅁䙁䅁䅁睁䵁䅁䅁权晁䅁䅁权楁䅁䅁权䙁䅁䅁权䅂䅁䅁允䅁䅁䅅䅁䙁䅁䅁䅁䅃敫䅚䍄䉁䅁䅁兂䅁䅁䅍䅄䅁䅁䅯䅈䅁䅁䅯允䅁䅁䅯兂䅁䅁䅯睄䅁䅁䅅䅁䉁䅁䅁兂穁積積積呐睐杷允䅁䅁䅑䅁䑁䅁䅷䅁䭁䉁䅷䅁䭁䅁䅙䅁䭁䅁䄸䅁䉁䅁䅁允䅁䉁䅑橔癑权䅁䅁䵁䅉䅅䅁䙁䅁䅁睁䵁䅁䅁权捁䅁䅁权䉁䅁䅁权䙁䅁䅁权剁䅁䅁允䅁䅁䅅䅁䙁䑁積積積㥍⽍䍄䉁䅁䅁兂䅁䅁䅍䅄䅁䅁䅯䅈䅁䅁䅯杉䅁䅁䅯兂䅁䅁䅯睁䅁䅁䅅䅁䉁䅁䅁兂䅁䅁䅁䉙杪䅑杷允䅁䅁䅑䅁䑁䅁䅷䅁䭁䉁䅷䅁䭁䅁䅙䅁䭁䉁䅅䅁䉁䅁䅁允䅁䉁䅑煎癫权䅁䅁䵁䅉䅅䅁䙁䅁䅁睁䵁䅁䅁权晁䅁䅁权䉁䅁䅁权䙁䅁䅁权䥁䅁䅁允䅁䅁䅅䅁䙁䕁桪桥畓⭒⽅䍄䉁䅁䅁兂䅁䅁䅍䅄䅁䅁䅯睈䅁䅁䅯睉䅁䅁䅯兂䅁䅁䅯权䅁䅁䅅䅁䉁䅁䅁兂䅁䅁䅁瑃睕兑杷允䅁䅁䅕䅁䑁䅁䅷䅁䭁䉁䅷䅁䭁䅁䅅䅁䭁䅁䅕䅁䭁䉁䅍䅁䉁䅁䅁允䅁䅁䅕㑈牘払敧吱䴸䅉䅅䅁䕁䅁䅁睁䵁䅁䅁权捁䅁䅁权䝁䅁䅁权呁䅁䅁允䅁䅁䅅䅁啁䑁灡睌䅯䅁䅁䍄䉁䅁䅁兂䅁䅁䅍䅄䅁䅁䅯䅈䅁䅁䅯允䅁䅁䅯兂䅁䅁䅯杅䅁䅁䅅䅁䉁䅁䅁兂晁敨剴䉵嘷睐杷允䅁䅁䅑䅁䑁䅁䅷䅁䭁䉁䅷䅁䭁䅁䅙䅁䭁䉁䅣䅁䉁䅁䅁允䅁䉁䅑䩉䘳睄䅁䅁䵁䅉䅅䅁䙁䅁䅁睁䵁䅁䅁权敁䅁䅁权楁䅁䅁权䙁䅁䅁权䱁䅁䅁允䅁䅁䅅䅁䙁䵁㌯⭕摐搰䅤䍄䉁䅁䅁兂䅁䅁䅍䅄䅁䅁䅯䅈䅁䅁䅯允䅁䅁䅯兂䅁䅁䅯兆䅁䅁䅅䅁䉁䅁䅁兂晁敨剴䉵嘷睐杷允䅁䅁䅑䅁䑁䅁䅷䅁䭁䉁䅷䅁䭁䅁䅙䅁䭁䉁䅕䅁䉁䅁䅁允䅁䉁䅑獤戸权䅁䅁䵁䅉䅅䅁䕁䅁䅁睁䵁䅁䅁权捁䅁䅁权䝁䅁䅁权䥁䅁䅁允䅁䅁䅅䅁啁䵁畐杋䅯䅁䅁䍄䉁䅁䅁兂䅁䅁䅍䅄䅁䅁䅯杇䅁䅁䅯睉䅁䅁䅯兂䅁䅁䅯睃䅁䅁䅅䅁䉁䅁䅁兂䅁䅁䅂䅨噤兑杷允䅁䅁䅕䅁䑁䅁䅷䅁䭁䉁䅷䅁䭁䅁䅅䅁䭁䅁䅕䅁䭁䉁䅙䅁䉁䅁䅁允䅁䅁䅕椹捨㡪ㅌ䐲䴸䅉䅅䅁䙁䅁䅁睁䵁䅁䅁权摁䅁䅁权楁䅁䅁权䙁䅁䅁权ぁ䅁䅁允䅁䅁䅅䅁䙁䅁䅁䅁杄条䉬䍄䉁䅁䅁兂䅁䅁䅍䅄䅁䅁䅯睈䅁䅁䅯杉䅁䅁䅯兂䅁䅁䅯睐䅁䅁䅅䅁䉁䅁䅁兂䅁䅁䅁伴楮䅑杷允䅁䅁䅑䅁䑁䅁䅷䅁䭁䉁䅷䅁䭁䅁䅙䅁䭁䉁䅙䅁䉁䅁䅁允䅁䉁䅑㜵㉡睄䅁䅁䵁䅉䅅䅁䙁䅁䅁睁䵁䅁䅁权䅁䅁䅁权橁䅁䅁权䙁䅁䅁权奁䅁䅁允䅁䅁䅅䅁䙁䅁䅁䅁獂䝔䉰䍄䉁䅁䅁兂䅁䅁䅍䅄䅁䅁䅯先䅁䅁䅯杉䅁䅁䅯兂䅁䅁䅯䅍䅁䅁䅅䅁䉁䅁䅁兂䅁䅁䅁䱕䝯兑杷允䅁䅁䅕䅁䑁䅁䅷䅁䭁䉁䅷䅁䭁䅁䅅䅁䭁䅁䅕䅁䭁䉁䅧䅁䉁䅁䅁允䅁䅁䅕椹捨㡪ㅌ䐲䴸䅉䅅䅁䕁䅁䅁睁䵁䅁䅁权捁䅁䅁权䝁䅁䅁权奁䅁䅁允䅁䅁䅅䅁啁佁癕眰䄸䅁䅁䍄䉁䅁䅁兂䅁䅁䅍䅄䅁䅁䅯先䅁䅁䅯杉䅁䅁䅯兂䅁䅁䅯李䅁䅁䅅䅁䉁䅁䅁兂䅁䅁䅁伸䡅兑杷允䅁䅁䅕䅁䑁䅁䅷䅁䭁䉁䄴䅁䭁䅁䅅䅁䭁䅁䅕䅁䭁䅁䅯䅁䉁䅁䅁允䅁䅁䅕積積積積稰䴸䅉䅅䅁䙁䅁䅁睁䵁䅁䅁权捁䅁䅁权䉁䅁䅁权䙁䅁䅁权啁䅁䅁允䅁䅁䅅䅁䙁偁潙䥘䌯搹⽧䍄䉁䅁䅁䅂䅁䅁䅍䅄䅁䅁䅯䅈䅁䅁䅯杂䅁䅁䅯䅆䅁䅁䅅䅁䉁䅁䅁䅆权佷偁䅁䅁䅁杷允䅁䅁䅕䅁䑁䅁䅷䅁䭁䅁䅁䅁䭁䍁䅉䅁䭁䅁䅕䅁䭁䅁䄸䅁䉁䅁䅁允䅁䅁䅕䅁䅁䕁潄啄䵅䅉䅅䅁䙁䅁䅁睁䵁䅁䅁权捁䅁䅁权䉁䅁䅁权䙁䅁䅁权婁䅁䅁允䅁䅁䅅䅁䙁偁潙䥘䌯搹⽧䍄䉁䅁䅁䅂䅁䅁䅍䅄䅁䅁䅯䅈䅁䅁䅯杂䅁䅁䅯兇䅁䅁䅅䅁䉁䅁䅁䅆杄佬偁䅁䅁䅁杷允䅁䅁䅕䅁䑁䅁䅷䅁䭁䉁䅯䅁䭁䍁䅉䅁䭁䅁䅕䅁䭁䉁䅕䅁䉁䅁䅁允䅁䅁䅕䅁䅁䥁䭃啂䵅䅉䅅䅁䕁䅁䅁睁䵁䅁䅁权摁䅁䅁权䝁䅁䅁权䭁䅁䅁允䅁䅁䅅䅁啁䍁䥯硢䅣䅁䅁䍄䉁䅁䅁䅂䅁䅁䅍䅄䅁䅁䅯杈䅁䅁䅯杂䅁䅁䅯睃䅁䅁䅅䅁䉁䅁䅁䅆杂塤䑅䅁䅁䅁杷允䅁䅁䅕䅁䑁䅁䅷䅁䭁䉁䅷䅁䭁䍁䅉䅁䭁䅁䅕䅁䭁䉁䅙䅁䉁䅁䅁允䅁䅁䅕䅁䅁䭁畄䔹䵁䅉䅅䅁䕁䅁䅁睁䵁䅁䅁权摁䅁䅁权䝁䅁䅁权乁䅁䅁允䅁䅁䅅䅁啁䙁⭧桑䅣䅁䅁䍄䉁䅁䅁兂䅁䅁䅍䅄䅁䅁䅯䅁䅁䅁䅯睉䅁䅁䅯兂䅁䅁䅯杅䅁䅁䅅䅁䉁䅁䅁兂䅁䅁䅁灕汨兑杷允䅁䅁䅑䅁䑁䅁䅷䅁䭁䉁䄰䅁䭁䅁䅙䅁䭁䅁䅣䅁䉁䅁䅁允䅁䉁䅑ㅏ商睆䅁䅁䵁䅉䅅䅁䙁䅁䅁睁䵁䅁䅁权摁䅁䅁权䉁䅁䅁权䙁䅁䅁权䩁䅁䅁允䅁䅁䅅䅁䙁乁橥䑣䬰㤱⽍䍄䉁䅁䅁䅂䅁䅁䅍䅄䅁䅁䅯先䅁䅁䅯杂䅁䅁䅯睁䅁䅁䅅䅁䉁䅁䅁䅆㝁噕塑䅁䅁䅁杷允䅁䅁䅑䅁䑁䅁䅷䅁䭁䉁䄰䅁䭁䅁䅙䅁䭁䅁䄸䅁䉁䅁䅁允䅁䉁䅑㥹䕏睆䅁䅁䵁䅉䅅䅁䕁䅁䅁睁䵁䅁䅁权敁䅁䅁权䝁䅁䅁权塁䅁䅁允䅁䅁䅅䅁啁䙁䔴杇䅕䅁䅁䍄䉁䅁䅁䅂䅁䅁䅍䅄䅁䅁䅯先䅁䅁䅯杂䅁䅁䅯䅃䅁䅁䅅䅁䉁䅁䅁䅆䕁樲塯䅁䅁䅁杷允䅁䅁䅕䅁䑁䅁䅷䅁䭁䉁䄰䅁䭁䅁䅅䅁䭁䅁䅕䅁䭁䅁䅣䅁䉁䅁䅁允䅁䅁䅕㘱睎児塲稰䴸䅉䅅䅁䕁䅁䅁睁䵁䅁䅁权摁䅁䅁权䝁䅁䅁权䩁䅁䅁允䅁䅁䅅䅁啁䩁䑌䉙䅣䅁䅁䍄䉁䅁䅁兂䅁䅁䅍䅄䅁䅁䅯杇䅁䅁䅯杉䅁䅁䅯兂䅁䅁䅯兄䅁䅁䅅䅁䉁䅁䅁兂䅁䅁䅁䍏䡷兑杷允䅁䅁䅕䅁䑁䅁䅷䅁䭁䉁䄰䅁䭁䅁䅅䅁䭁䅁䅕䅁䭁䉁䅍䅁䉁䅁䅁允䅁䅁䅕㑈牘払敧吱䴸䅉䅅䅁䙁䅁䅁睁䵁䅁䅁权摁䅁䅁权䉁䅁䅁权䙁䅁䅁权䭁䅁䅁允䅁䅁䅅䅁䙁乁橥䑣䬰㤱⽍䍄䉁䅁䅁兂䅁䅁䅍䅄䅁䅁䅯先䅁䅁䅯允䅁䅁䅯兂䅁䅁䅯睃䅁䅁䅅䅁䉁䅁䅁兂塄㍯㥁瑃呦睐杷允䅁䅁䅕䅁䑁䅁䅷䅁䭁䉁䄰䅁䭁䅁䅅䅁䭁䅁䅕䅁䭁䅁䅷䅁䉁䅁䅁允䅁䅁䅕㑈牘払敧吱䴸䅉䅅䅁䙁䅁䅁睁䵁䅁䅁权摁䅁䅁权䉁䅁䅁权䙁䅁䅁权乁䅁䅁允䅁䅁䅅䅁䙁䭁䠵場啯瑲⽣䍄䉁䅁䅁兂䅁䅁䅍䅄䅁䅁䅯先䅁䅁䅯允䅁䅁䅯兂䅁䅁䅯杄䅁䅁䅅䅁䉁䅁䅁兂畃⭒㙆䭆堷睐杷允䅁䅁䅑䅁䑁䅁䅷䅁䭁䉁䄰䅁䭁䅁䅙䅁䭁䉁䅑䅁䉁䅁䅁允䅁䉁䅑晌ㅰ杈䅁䅁䵁䅉䅅䅁䙁䅁䅁睁䵁䅁䅁权摁䅁䅁权䉁䅁䅁权䙁䅁䅁权偁䅁䅁允䅁䅁䅅䅁䙁乁橥䑣䬰㤱⽍䍄䉁䅁䅁兂䅁䅁䅍䅄䅁䅁䅯杇䅁䅁䅯睉䅁䅁䅯兂䅁䅁䅯睅䅁䅁䅅䅁䉁䅁䅁兂䅁䅁䅄䉋噚兑杷允䅁䅁䅕䅁䑁䅁䅷䅁䭁䉁䄰䅁䭁䅁䅅䅁䭁䅁䅕䅁䭁䉁䅁䅁䉁䅁䅁允䅁䅁䅕㘱睎児塲稰䴸䅉䅅䅁䙁䅁䅁睁䵁䅁䅁权捁䅁䅁权楁䅁䅁权䙁䅁䅁权噁䅁䅁允䅁䅁䅅䅁䙁䅁䅁䅁䅄晓䅊䍄䉁䅁䅁兂䅁䅁䅍䅄䅁䅁䅯先䅁䅁䅯允䅁䅁䅯兂䅁䅁䅯充䅁䅁䅅䅁䉁䅁䅁兂塄㍯㥁瑃呦睐杷允䅁䅁䅑䅁䑁䅁䅷䅁䭁䉁䄰䅁䭁䅁䅙䅁䭁䉁䅅䅁䉁䅁䅁允䅁䉁䅑啊㕎睆䅁䅁䵁䅉䅅䅁䙁䅁䅁睁䵁䅁䅁权敁䅁䅁权楁䅁䅁权䙁䅁䅁权十䅁䅁允䅁䅁䅅䅁䙁䑁敖歵歫丰䅨䍄䉁䅁䅁兂䅁䅁䅍䅄䅁䅁䅯睈䅁䅁䅯睉䅁䅁䅯兂䅁䅁䅯䅆䅁䅁䅅䅁䉁䅁䅁兂䅁䅁䅁博㡙兑杷允䅁䅁䅑䅁䑁䅁䅷䅁䭁䉁䄰䅁䭁䅁䅙䅁䭁䉁䅍䅁䉁䅁䅁允䅁䉁䅑晹䵴睆䅁䅁䵁䅉䅅䅁䙁䅁䅁睁䵁䅁䅁权䅁䅁䅁权橁䅁䅁权䙁䅁䅁权噁䅁䅁允䅁䅁䅅䅁䙁䅁䅁䅁呁圴䉖䍄䉁䅁䅁䅂䅁䅁䅍䅄䅁䅁䅯先䅁䅁䅯杂䅁䅁䅯杅䅁䅁䅅䅁䉁䅁䅁䅆歁吲塳䅁䅁䅁杷允䅁䅁䅕䅁䑁䅁䅷䅁䭁䉁䄰䅁䭁䅁䅅䅁䭁䅁䅕䅁䭁䉁䅕䅁䉁䅁䅁允䅁䅁䅕㑈牘払敧吱䴸䅉䅅䅁䙁䅁䅁睁䵁䅁䅁权摁䅁䅁权䉁䅁䅁权䙁䅁䅁权䥁䅁䅁允䅁䅁䅅䅁䙁䝁浚浚浚瑚⽙䍄䉁䅁䅁兂䅁䅁䅍䅄䅁䅁䅯先䅁䅁䅯允䅁䅁䅯兂䅁䅁䅯杆䅁䅁䅅䅁䉁䅁䅁兂畃⭒㙆䭆堷睐杷允䅁䅁䅕䅁䑁䅁䅷䅁䭁䉁䄸䅁䭁䅁䅅䅁䭁䅁䅕䅁䭁䅁䅫䅁䉁䅁䅁允䅁䅁䅕敨剴䉵䘶稲䴸䅉䅅䅁䙁䅁䅁睁䵁䅁䅁权摁䅁䅁权䉁䅁䅁权䙁䅁䅁权婁䅁䅁允䅁䅁䅅䅁䙁䭁䠵場啯瑲⽣䍄䉁䅁䅁䅂䅁䅁䅍䅄䅁䅁䅯先䅁䅁䅯杂䅁䅁䅯杆䅁䅁䅅䅁䉁䅁䅁䅆奂歐塉䅁䅁䅁杷允䅁䅁䅕䅁䑁䅁䅷䅁䭁䉁䄰䅁䭁䅁䅅䅁䭁䅁䅕䅁䭁䉁䅣䅁䉁䅁䅁允䅁䅁䅕歲桦桥畓稱䴸䅉䅅䅁䕁䅁䅁睁䵁䅁䅁权摁䅁䅁权䝁䅁䅁权塁䅁䅁允䅁䅁䅅䅁啁䙁⭧桑䅣䅁䅁䍄䉁䅁䅁䅂䅁䅁䅍䅄䅁䅁䅯睈䅁䅁䅯杂䅁䅁䅯睂䅁䅁䅅䅁䉁䅁䅁䅆䡁ㅅ䕑䅁䅁䅁杷允䅁䅁䅕䅁䑁䅁䅷䅁䭁䉁䄸䅁䭁䍁䅉䅁䭁䅁䅕䅁䭁䕁䅧䅁䉁䅁䅁允䅁䅁䅕䅁䅁佁㉂唶䵁䅉䅅䅁䙁䅁䅁睁䵁䅁䅁权慁䅁䅁权楁䅁䅁权䙁䅁䅁权塁䅁䅁允䅁䅁䅅䅁䙁䅁䅁䅁㑁䅪䉖䍄䉁䅁䅁兂䅁䅁䅍䅄䅁䅁䅯先䅁䅁䅯允䅁䅁䅯兂䅁䅁䅯䅇䅁䅁䅅䅁䉁䅁䅁兂畃⭒㙆䭆堷睐杷允䅁䅁䅕䅁䑁䅁䅷䅁䭁䉁䄰䅁䭁䅁䅅䅁䭁䅁䅕䅁䭁䉁䅑䅁䉁䅁䅁允䅁䅁䅕歲桦桥畓稱䴸䅉䅅䅁䕁䅁䅁睁䵁䅁䅁权摁䅁䅁权䝁䅁䅁权婁䅁䅁允䅁䅁䅅䅁啁䍁㘳剤䄴䅁䅁䍄䉁䅁䅁兂䅁䅁䅍䅄䅁䅁䅯䅁䅁䅁䅯杉䅁䅁䅯兂䅁䅁䅯杅䅁䅁䅅䅁䉁䅁䅁兂䅁䅁䅁䐴呫兑杷允䅁䅁䅕䅁䑁䅁䅷䅁䭁䉁䄸䅁䭁䍁䅍䅁䭁䅁䅕䅁䭁䉁䅙䅁䉁䅁䅁允䅁䅁䅕䅁䅁䑁䥵く䵅䅉䅅䅁䕁䅁䅁睁䵁䅁䅁权敁䅁䅁权䝁䅁䅁权啁䅁䅁允䅁䅁䅅䅁啁佁南充䅕䅁䅁䍄䉁䅁䅁䅂䅁䅁䅍䅄䅁䅁䅯杈䅁䅁䅯杂䅁䅁䅯䅃䅁䅁䅅䅁䉁䅁䅁䅆汁剂䙯䅁䅁䅁杷允䅁䅁䅕䅁䑁䅁䅷䅁䭁䉁䅯䅁䭁䍁䅍䅁䭁䅁䅕䅁䭁䉁䅙䅁䉁䅁䅁允䅁䅁䅕䅁䅁䥧敁䕖䵅䅉䅅䅁䙁䅁䅁睁䵁䅁䅁权捁䅁䅁权楁䅁䅁权䙁䅁䅁权䭁䅁䅁允䅁䅁䅅䅁䙁䅁䅁䅁杁佮䅬䍄䉁䅁䅁䅂䅁䅁䅍䅄䅁䅁䅯杈䅁䅁䅯杂䅁䅁䅯元䅁䅁䅅䅁䉁䅁䅁䅆杂塤䑅䅁䅁䅁杷允䅁䅁䅕䅁䑁䅁䅷䅁䭁䉁䄴䅁䭁䅁䅅䅁䭁䅁䅕䅁䭁䅁䅫䅁䉁䅁䅁允䅁䅁䅕積積積積稰䴸䅉䅅䅁䙁䅁䅁睁䵁䅁䅁权晁䅁䅁权楁䅁䅁权䙁䅁䅁权㑁䅁䅁允䅁䅁䅅䅁䙁䅁䅁䅁䅃瑗䄵䍄䉁䅁䅁䅂䅁䅁䅍䅄䅁䅁䅯杈䅁䅁䅯杂䅁䅁䅯权䅁䅁䅅䅁䉁䅁䅁䅆杂塤䑅䅁䅁䅁杷允䅁䅁䅑䅁䑁䅁䅷䅁䭁䉁䄴䅁䭁䅁䅙䅁䭁䅁䅷䅁䉁䅁䅁允䅁䉁䅑䡙硖睁䅁䅁䵁䅉䅅䅁䕁䅁䅁睁䵁䅁䅁权敁䅁䅁权䝁䅁䅁权乁䅁䅁允䅁䅁䅅䅁啁䙁䔴杇䅕䅁䅁䍄䉁䅁䅁兂䅁䅁䅍䅄䅁䅁䅯䅁䅁䅁䅯杉䅁䅁䅯兂䅁䅁䅯兆䅁䅁䅅䅁䉁䅁䅁兂䅁䅁䅁䵧卷兑杷允䅁䅁䅑䅁䑁䅁䅷䅁䭁䉁䄴䅁䭁䅁䅙䅁䭁䅁䄴䅁䉁䅁䅁允䅁䉁䅑婔佉兂䅁䅁䵁䅉䅅䅁䙁䅁䅁睁䵁䅁䅁权敁䅁䅁权䉁䅁䅁权䙁䅁䅁权䡁䅁䅁允䅁䅁䅅䅁䙁䑁積積積㥍⽍䍄䉁䅁䅁兂䅁䅁䅍䅄䅁䅁䅯杈䅁䅁䅯允䅁䅁䅯兂䅁䅁䅯兇䅁䅁䅅䅁䉁䅁䅁兂䅁䅁䅁䅁兄睐杷允䅁䅁䅑䅁䑁䅁䅷䅁䭁䉁䄴䅁䭁䅁䅙䅁䭁䅁䅣䅁䉁䅁䅁允䅁䉁䅑䡙硖睁䅁䅁䵁䅉䅅䅁䕁䅁䅁睁䵁䅁䅁权敁䅁䅁权䝁䅁䅁权十䅁䅁允䅁䅁䅅䅁啁䝁ㅂ兣䅍䅁䅁䍄䉁䅁䅁兂䅁䅁䅍䅄䅁䅁䅯杈䅁䅁䅯允䅁䅁䅯兂䅁䅁䅯睃䅁䅁䅅䅁䉁䅁䅁兂穁積積積呐睐杷允䅁䅁䅕䅁䑁䅁䅷䅁䭁䉁䄴䅁䭁䅁䅅䅁䭁䅁䅕䅁䭁䅁䅷䅁䉁䅁䅁允䅁䅁䅕⽷潕䥘䌯吱䴸䅉䅅䅁䙁䅁䅁睁䵁䅁䅁权敁䅁䅁权䉁䅁䅁权䙁䅁䅁权乁䅁䅁允䅁䅁䅅䅁䙁䵁ㅐ䙋偹瑷⽕䍄䉁䅁䅁兂䅁䅁䅍䅄䅁䅁䅯杈䅁䅁䅯允䅁䅁䅯兂䅁䅁䅯杄䅁䅁䅅䅁䉁䅁䅁兂䅁䅁䅁䅁兄睐杷允䅁䅁䅑䅁䑁䅁䅷䅁䭁䉁䄴䅁䭁䅁䅙䅁䭁䅁䄸䅁䉁䅁䅁允䅁䉁䅑䡙硖睁䅁䅁䵁䅉䅅䅁䕁䅁䅁睁䵁䅁䅁权敁䅁䅁权䝁䅁䅁权允䅁䅁允䅁䅁䅅䅁啁䝁ㅂ兣䅍䅁䅁䍄䉁䅁䅁兂䅁䅁䅍䅄䅁䅁䅯䅈䅁䅁䅯杉䅁䅁䅯兂䅁䅁䅯睅䅁䅁䅅䅁䉁䅁䅁兂䅁䅁䅁䡯畢䅑杷允䅁䅁䅕䅁䑁䅁䅷䅁䭁䉁䄴䅁䭁䅁䅅䅁䭁䅁䅕䅁䭁䉁䅅䅁䉁䅁䅁允䅁䅁䅕積積積積稰䴸䅉䅅䅁䕁䅁䅁睁䵁䅁䅁权敁䅁䅁权䝁䅁䅁权剁䅁䅁允䅁䅁䅅䅁啁䝁ㅂ兣䅍䅁䅁䍄䉁䅁䅁兂䅁䅁䅍䅄䅁䅁䅯杈䅁䅁䅯允䅁䅁䅯兂䅁䅁䅯睅䅁䅁䅅䅁䉁䅁䅁兂㝂䭆䠵場啲睐杷允䅁䅁䅑䅁䑁䅁䅷䅁䭁䉁䄴䅁䭁䅁䅙䅁䭁䉁䅍䅁䉁䅁䅁允䅁䉁䅑䡙硖睁䅁䅁䵁䅉䅅䅁䙁䅁䅁睁䵁䅁䅁权摁䅁䅁权橁䅁䅁权䙁䅁䅁权䥁䅁䅁允䅁䅁䅅䅁䙁䅁䅁䅁㑁ㄯ䉰䍄䉁䅁䅁兂䅁䅁䅍䅄䅁䅁䅯杈䅁䅁䅯允䅁䅁䅯兂䅁䅁䅯杆䅁䅁䅅䅁䉁䅁䅁兂䑄匹捨㡪噌睐杷允䅁䅁䅕䅁䑁䅁䅷䅁䭁䉁䅯䅁䭁䍁䅍䅁䭁䅁䅕䅁䭁䉁䅣䅁䉁䅁䅁允䅁䅁䅕䅁䅁䭑ㅫざ䵅䅉䅅䅁䙁䅁䅁睁䵁䅁䅁权敁䅁䅁权䉁䅁䅁权䙁䅁䅁权十䅁䅁允䅁䅁䅅䅁䙁䡁啳歲桦瑥⽑䍄䉁䅁䅁䅂䅁䅁䅍䅄䅁䅁䅯杈䅁䅁䅯杂䅁䅁䅯䅇䅁䅁䅅䅁䉁䅁䅁䅆硁剌䙉䅁䅁䅁杷允䅁䅁䅕䅁䑁䅁䅷䅁䭁䉁䄸䅁䭁䍁䅉䅁䭁䅁䅕䅁䭁䕁䅳䅁䉁䅁䅁允䅁䅁䅕䅁䅁佁睂〵䵁䅉䅅䅁䕁䅁䅁睁䵁䅁䅁权敁䅁䅁权䝁䅁䅁权噁䅁䅁允䅁䅁䅅䅁啁䝁ㅂ兣䅍䅁䅁䍄䉁䅁䅁兂䅁䅁䅍䅄䅁䅁䅯杈䅁䅁䅯允䅁䅁䅯兂䅁䅁䅯䅃䅁䅁䅅䅁䉁䅁䅁兂䑄匹捨㡪噌睐杷允䅁䅁䅕䅁䑁䅁䅷䅁䭁䉁䄴䅁䭁䅁䅅䅁䭁䅁䅕䅁䭁䉁䅣䅁䉁䅁䅁允䅁䅁䅕⽷潕䥘䌯吱䴸䅉䅅䅁䙁䅁䅁睁䵁䅁䅁权捁䅁䅁权橁䅁䅁权䙁䅁䅁权啁䅁䅁允䅁䅁䅅䅁䙁䅁䅁䥁䉂汖䉊䍄䉁䅁䅁兂䅁䅁䅍䅄䅁䅁䅯杈䅁䅁䅯允䅁䅁䅯兂䅁䅁䅯䅇䅁䅁䅅䅁䉁䅁䅁兂䑄匹捨㡪噌睐杷允䅁䅁䅕䅁䑁䅁䅷䅁䭁䉁䄴䅁䭁䅁䅅䅁䭁䅁䅕䅁䭁䉁䅑䅁䉁䅁䅁允䅁䅁䅕䅁䅁䅁䅁䐰䴸䅉䅅䅁䕁䅁䅁睁䵁䅁䅁权敁䅁䅁权䝁䅁䅁权婁䅁䅁允䅁䅁䅅䅁啁䱁乏充䅕䅁䅁䍄䉁䅁䅁䅂䅁䅁䅍䅄䅁䅁䅯睈䅁䅁䅯杂䅁䅁䅯睁䅁䅁䅅䅁䉁䅁䅁䅆䭂歺䕫䅁䅁䅁杷允䅁䅁䅑䅁䑁䅁䅷䅁䭁䉁䄸䅁䭁䅁䅙䅁䭁䉁䅍䅁䉁䅁䅁允䅁䉁䅑⬵婢䅂䅁䅁䵁䅉䅅䅁䙁䅁䅁睁䵁䅁䅁权䅁䅁䅁权橁䅁䅁权䙁䅁䅁权坁䅁䅁允䅁䅁䅅䅁䙁䅁䅁䅁㥂浤䉚䍄䉁䅁䅁兂䅁䅁䅍䅄䅁䅁䅯睈䅁䅁䅯允䅁䅁䅯兂䅁䅁䅯睁䅁䅁䅅䅁䉁䅁䅁兂硂児塲㍯摄睐杷允䅁䅁䅕䅁䑁䅁䅷䅁䭁䉁䄸䅁䭁䅁䅅䅁䭁䅁䅕䅁䭁䅁䅣䅁䉁䅁䅁允䅁䅁䅯睇䅁䅁杷允䅁䅁䅕䅁䑁䅁䅷䅁䭁䉁䅯䅁䭁䍁䅍䅁䭁䅁䅕䅁䭁䅁䄴䅁䉁䅁䅁允䅁䅁䅕䅁䅁䡁ㄸ啘䵅䅉䅅䅁䙁䅁䅁睁䵁䅁䅁权晁䅁䅁权䉁䅁䅁权䙁䅁䅁权䭁䅁䅁允䅁䅁䅅䅁䙁䱁敧敨剴乵⼴䍄䉁䅁䅁兂䅁䅁䅍䅄䅁䅁䅯睈䅁䅁䅯允䅁䅁䅯兂䅁䅁䅯睃䅁䅁䅅䅁䉁䅁䅁兂桄桥畓⭒慈睐杷允䅁䅁䅕䅁䑁䅁䅷䅁䭁䉁䄰䅁䭁䍁䅉䅁䭁䅁䅕䅁䭁䑁䅉䅁䉁䅁䅁允䅁䅁䅕䅁䅁䕁獪䕁䵅䅉䅅䅁䙁䅁䅁睁䵁䅁䅁权晁䅁䅁权䉁䅁䅁权䙁䅁䅁权䵁䅁䅁允䅁䅁䅅䅁䙁偁潙䥘䌯改⽁䍄䉁䅁䅁兂䅁䅁䅍䅄䅁䅁䅯睈䅁䅁䅯允䅁䅁䅯兂䅁䅁䅯兄䅁䅁䅅䅁䉁䅁䅁兂歃䑣䬰㘱材睐杷允䅁䅁䅕䅁䑁䅁䅷䅁䭁䉁䄴䅁䭁䍁䅉䅁䭁䅁䅕䅁䭁䉁䅕䅁䉁䅁䅁允䅁䅁䅕灳瘳硰ㄷ欲䵁䅉䅅䅁䙁䅁䅁睁䵁䅁䅁权晁䅁䅁权䉁䅁䅁权䙁䅁䅁权佁䅁䅁允䅁䅁䅅䅁䙁䙁㑋潈牘敕⽁䍄䉁䅁䅁兂䅁䅁䅍䅄䅁䅁䅯睈䅁䅁䅯允䅁䅁䅯兂䅁䅁䅯䅆䅁䅁䅅䅁䉁䅁䅁兂㉄䙋偹癷杘睐杷允䅁䅁䅑䅁䑁䅁䅷䅁䭁䉁䄸䅁䭁䅁䅙䅁䭁䅁䅳䅁䉁䅁䅁允䅁䉁䅑扂员䅂䅁䅁䵁䅉䅅䅁䕁䅁䅁睁䵁䅁䅁权晁䅁䅁权䝁䅁䅁权䵁䅁䅁允䅁䅁䅅䅁啁䥁慌睎䅕䅁䅁䍄䉁䅁䅁䅂䅁䅁䅍䅄䅁䅁䅯睈䅁䅁䅯杂䅁䅁䅯兄䅁䅁䅅䅁䉁䅁䅁䅆ㅄ夶䘸䅁䅁䅁杷允䅁䅁䅕䅁䑁䅁䅷䅁䭁䅁䅁䅁䭁䍁䅉䅁䭁䅁䅕䅁䭁䉁䅅䅁䉁䅁䅁允䅁䅁䅕䅁䅁䅁剁歅䵅䅉䅅䅁䙁䅁䅁睁䵁䅁䅁权晁䅁䅁权䉁䅁䅁权䙁䅁䅁权奁䅁䅁允䅁䅁䅅䅁䙁䙁㑋潈牘敕⽁䍄䉁䅁䅁䅂䅁䅁䅍䅄䅁䅁䅯睈䅁䅁䅯杂䅁䅁䅯元䅁䅁䅅䅁䉁䅁䅁䅆䙁䙡䕣䅁䅁䅁杷允䅁䅁䅕䅁䑁䅁䅷䅁䭁䉁䄸䅁䭁䅁䅅䅁䭁䅁䅕䅁䭁䅁䄸䅁䉁䅁䅁允䅁䅁䅕䡰㥁瑃橥䐴䴸䅉䅅䅁䕁䅁䅁睁䵁䅁䅁权晁䅁䅁权䝁䅁䅁权偁䅁䅁允䅁䅁䅅䅁啁乁⭹睨䅑䅁䅁䍄䉁䅁䅁兂䅁䅁䅍䅄䅁䅁䅯杇䅁䅁䅯杉䅁䅁䅯兂䅁䅁䅯权䅁䅁䅅䅁䉁䅁䅁兂䅁䅁䅁䡳㍈䅑杷允䅁䅁䅕䅁䑁䅁䅷䅁䭁䉁䄸䅁䭁䅁䅅䅁䭁䅁䅕䅁䭁䉁䅙䅁䉁䅁䅁允䅁䅁䅕体㙆䭆䠵吴䴸䅉䅅䅁䙁䅁䅁睁䵁䅁䅁权晁䅁䅁权䉁䅁䅁权䙁䅁䅁权允䅁䅁允䅁䅁䅅䅁䙁䵁䴳䵺䵺乺⽷䍄䉁䅁䅁兂䅁䅁䅍䅄䅁䅁䅯睈䅁䅁䅯允䅁䅁䅯兂䅁䅁䅯充䅁䅁䅅䅁䉁䅁䅁兂㥁瑃橥䑣愳睐杷允䅁䅁䅑䅁䑁䅁䅷䅁䭁䉁䄸䅁䭁䅁䅙䅁䭁䉁䅉䅁䉁䅁䅁允䅁䉁䅑坏是䅂䅁䅁䵁䅉䅅䅁䙁䅁䅁睁䵁䅁䅁权摁䅁䅁权楁䅁䅁权䙁䅁䅁权畁䅁䅁允䅁䅁䅅䅁䙁䅁䅁䅁权兯䉆䍄䉁䅁䅁兂䅁䅁䅍䅄䅁䅁䅯睈䅁䅁䅯允䅁䅁䅯兂䅁䅁䅯睅䅁䅁䅅䅁䉁䅁䅁兂䥂場啯歲桦睐杷允䅁䅁䅕䅁䑁䅁䅷䅁䭁䉁䄸䅁䭁䅁䅅䅁䭁䅁䅕䅁䭁䉁䅉䅁䉁䅁䅁允䅁䅁䅕䅁䅁䅁䅁䐴䴸䅉䅅䅁䕁䅁䅁睁䵁䅁䅁权晁䅁䅁权䝁䅁䅁权塁䅁䅁允䅁䅁䅅䅁啁䡁啖睩䅕䅁䅁䍄䉁䅁䅁兂䅁䅁䅍䅄䅁䅁䅯䅈䅁䅁䅯睉䅁䅁䅯兂䅁䅁䅯兄䅁䅁䅅䅁䉁䅁䅁兂䅁䅁䅃奯剴兑杷允䅁䅁䅕䅁䑁䅁䅷䅁䭁䉁䄰䅁䭁䍁䅉䅁䭁䅁䅕䅁䭁䍁䅳䅁䉁䅁䅁允䅁䅁䅕䅁䅁䡁⭄あ䵅䅉䅅䅁䙁䅁䅁睁䵁䅁䅁权晁䅁䅁权䉁䅁䅁权䙁䅁䅁权噁䅁䅁允䅁䅁䅅䅁䙁䭁睒児塲⭯⽁䍄䉁䅁䅁䅂䅁䅁䅍䅄䅁䅁䅯睈䅁䅁䅯杂䅁䅁䅯兆䅁䅁䅅䅁䉁䅁䅁䅆偁橍䙍䅁䅁䅁杷允䅁䅁䅑䅁䑁䅁䅷䅁䭁䉁䄸䅁䭁䅁䅙䅁䭁䅁䅧䅁䉁䅁䅁允䅁䉁䅑稫㕒兂䅁䅁䵁䅉䅅䅁䙁䅁䅁睁䵁䅁䅁权敁䅁䅁权橁䅁䅁权䙁䅁䅁权剁䅁䅁允䅁䅁䅅䅁䙁䱁穢搯慔祹䈹䍄䉁䅁䅁䅂䅁䅁䅍䅄䅁䅁䅯睈䅁䅁䅯杂䅁䅁䅯兇䅁䅁䅅䅁䉁䅁䅁䅆捂瀯䘰䅁䅁䅁杷允䅁䅁䅕䅁䑁䅁䅷䅁䭁䅁䅁䅁䭁䍁䅍䅁䭁䅁䅕䅁䭁䅁䅯䅁䉁䅁䅁允䅁䅁䅕䅁䅁䩁睫す䵅䅉䅅䅁䙁䅁䅁睁䵁䅁䅁权摁䅁䅁权橁䅁䅁权䙁䅁䅁权剁䅁䅁允䅁䅁䅅䅁䙁䅁䅁䕁畁䘶䉰䍄䉁䅁䅁兂䅁䅁䅍䅄䅁䅁䅯睈䅁䅁䅯允䅁䅁䅯兂䅁䅁䅯睆䅁䅁䅅䅁䉁䅁䅁兂歃䑣䬰㘱材睐杷允䅁䅁䅑䅁䑁䅁䅷䅁䭁䉁䄸䅁䭁䅁䅙䅁䭁䉁䅑䅁䉁䅁䅁允䅁䉁䅑獒婩兂䅁䅁䵁䅉䅅䅁䙁䅁䅁睁䵁䅁䅁权晁䅁䅁权䉁䅁䅁权䙁䅁䅁权婁䅁䅁允䅁䅁䅅䅁䙁䙁㑋潈牘敕⽁䍄䉁䅁䅁兂䅁䅁䅍䅄䅁䅁䅯䅁䅁䅁䅯允䅁䅁䅯兂䅁䅁䅯䅉䅁䅁䅅䅁䉁䅁䅁兂㑃潈牘払敪睐杷允䅁䅁䅑䅁䑁䅁䅷䅁䭁䅁䅁䅁䭁䅁䅙䅁䭁䍁䅁䅁䉁䅁䅁允䅁䉁䅑卶䵪杋䅁䅁䵁䅉䅅䅁䕁䅁䅁睁䵁䅁䅁权䅁䅁䅁权桁䅁䅁权䙁䅁䅁允䅁䅁䅅䅁䭁䉁䅳䅁䵁䅉䅅䅁䙁䅁䅁睁䵁䅁䅁权捁䅁䅁权楁䅁䅁权䙁䅁䅁权奁䅁䅁允䅁䅁䅅䅁䙁䅁䅁䅁权晭䅚䍄䉁䅁䅁兂䅁䅁䅍䅄䅁䅁䅯䅈䅁䅁䅯杉䅁䅁䅯兂䅁䅁䅯䅅䅁䅁䅅䅁䉁䅁䅁兂䅁䅁䅁偧橐䅑杷允䅁䅁䅕䅁䑁䅁䅷䅁䭁䉁䅷䅁䭁䍁䅉䅁䭁䅁䅕䅁䭁䅁䅳䅁䉁䅁䅁允䅁䅁䅕䅁䅁䅁畁欶䵁䅉䅅䅁䙁䅁䅁睁䵁䅁䅁权捁䅁䅁权楁䅁䅁权䙁䅁䅁权偁䅁䅁允䅁䅁䅅䅁䙁䅁䅁䅁杁⭭䅖䍄䉁䅁䅁兂䅁䅁䅍䅄䅁䅁䅯䅈䅁䅁䅯杉䅁䅁䅯兂䅁䅁䅯充䅁䅁䅅䅁䉁䅁䅁兂䅁䅁䅁䅙煔䅑杷允䅁䅁䅕䅁䑁䅁䅷䅁䭁䉁䄴䅁䭁䍁䅉䅁䭁䅁䅕䅁䭁䉁䅫䅁䉁䅁䅁允䅁䅁䅕渷⽷捎牢欲䵁䅉䅅䅁䙁䅁䅁睁䵁䅁䅁权捁䅁䅁权楁䅁䅁权䙁䅁䅁权婁䅁䅁允䅁䅁䅅䅁䙁䅁䅁䅁䅂療䅬䍄䉁䅁䅁兂䅁䅁䅍䅄䅁䅁䅯先䅁䅁䅯睉䅁䅁䅯兂䅁䅁䅯元䅁䅁䅅䅁䉁䅁䅁兂䅁䅁䅂汈奰兑杷允䅁䅁䅕䅁䑁䅁䅷䅁䭁䉁䅷䅁䭁䍁䅉䅁䭁䅁䅕䅁䭁䉁䅣䅁䉁䅁䅁允䅁䅁䅕䅁䅁䭁癄欹䵁䅉䅅䅁䙁䅁䅁睁䵁䅁䅁权慁䅁䅁权橁䅁䅁权䙁䅁䅁权䩁䅁䅁允䅁䅁䅅䅁䙁䅁䅁䅁扁啳䉸䍄䉁䅁䅁兂䅁䅁䅍䅄䅁䅁䅯䅈䅁䅁䅯杉䅁䅁䅯兂䅁䅁䅯䅆䅁䅁䅅䅁䉁䅁䅁兂䅁䅁䅁䥅㑔䅑杷允䅁䅁䅕䅁䑁䅁䅷䅁䭁䉁䄰䅁䭁䍁䅉䅁䭁䅁䅕䅁䭁䍁䄰䅁䉁䅁䅁允䅁䅁䅕䅁䅁䝁䱁䕁䵅䅉䅅䅁䙁䅁䅁睁䵁䅁䅁权摁䅁䅁权橁䅁䅁权䙁䅁䅁权噁䅁䅁允䅁䅁䅅䅁䙁䅁䅁䅁㙂決䉰䍄䉁䅁䅁兂䅁䅁䅍䅄䅁䅁䅯杇䅁䅁䅯杉䅁䅁䅯兂䅁䅁䅯䅃䅁䅁䅅䅁䉁䅁䅁兂䅁䅁䅁䝋䡧兑杷允䅁䅁䅕䅁䑁䅁䅷䅁䭁䉁䅷䅁䭁䍁䅍䅁䭁䅁䅕䅁䭁䅁䅷䅁䉁䅁䅁允䅁䅁䅕䅁䅁䕧䩶げ䵅䅉䅅䅁䙁䅁䅁睁䵁䅁䅁权慁䅁䅁权楁䅁䅁权䙁䅁䅁权䡁䅁䅁允䅁䅁䅅䅁䙁䅁䅁䅁睄癑䅊䍄䉁䅁䅁兂䅁䅁䅍䅄䅁䅁䅯杈䅁䅁䅯杉䅁䅁䅯兂䅁䅁䅯杆䅁䅁䅅䅁䉁䅁䅁兂睃浣剩婄扶䅑杷允䅁䅁䅕䅁䑁䅁䅷䅁䭁䉁䅯䅁䭁䍁䅉䅁䭁䅁䅕䅁䭁䅁䅍䅁䉁䅁䅁允䅁䅁䅕䅁䅁䑁橄䔹䵁䅉䅅䅁䙁䅁䅁睁䵁䅁䅁权慁䅁䅁权楁䅁䅁权䙁䅁䅁权䩁䅁䅁允䅁䅁䅅䅁䙁䅁䅁䅁杄晗䅆䍄䉁䅁䅁兂䅁䅁䅍䅄䅁䅁䅯杇䅁䅁䅯杉䅁䅁䅯兂䅁䅁䅯睃䅁䅁䅅䅁䉁䅁䅁兂䅁䅁䅁䍧䅅兑杷允䅁䅁䅕䅁䑁䅁䅷䅁䭁䉁䅯䅁䭁䍁䅉䅁䭁䅁䅕䅁䭁䅁䄴䅁䉁䅁䅁允䅁䅁䅕䅁䅁䙁汃あ䵅䅉䅅䅁䙁䅁䅁睁䵁䅁䅁权慁䅁䅁权楁䅁䅁权䙁䅁䅁权偁䅁䅁允䅁䅁䅅䅁䙁䅁䅁䅁允⽕䅰䍄䉁䅁䅁兂䅁䅁䅍䅄䅁䅁䅯杇䅁䅁䅯杉䅁䅁䅯兂䅁䅁䅯充䅁䅁䅅䅁䉁䅁䅁兂䅁䅁䅁䱉㕐䅑杷允䅁䅁䅕䅁䑁䅁䅷䅁䭁䉁䄸䅁䭁䍁䅉䅁䭁䅁䅕䅁䭁䕁䅯䅁䉁䅁䅁允䅁䅁䅕䅁䅁䥁瑃唲䵁䅉䅅䅁䙁䅁䅁睁䵁䅁䅁权慁䅁䅁权楁䅁䅁权䙁䅁䅁权允䅁䅁允䅁䅁䅅䅁䙁䅁䅁䅁睄癵䅬䍄䉁䅁䅁兂䅁䅁䅍䅄䅁䅁䅯杇䅁䅁䅯杉䅁䅁䅯兂䅁䅁䅯杆䅁䅁䅅䅁䉁䅁䅁兂䅁䅁䅁䙕䙫兑杷允䅁䅁䅕䅁䑁䅁䅷䅁䭁䉁䅯䅁䭁䍁䅉䅁䭁䅁䅕䅁䭁䉁䅍䅁䉁䅁䅁允䅁䅁䅕䅁䅁偁㥃歁䵅䅉䅅䅁䙁䅁䅁睁䵁䅁䅁权慁䅁䅁权楁䅁䅁权䙁䅁䅁权婁䅁䅁允䅁䅁䅅䅁䙁䅁䅁䅁权眷䉖䍄䉁䅁䅁兂䅁䅁䅍䅄䅁䅁䅯䅁䅁䅁䅯睉䅁䅁䅯兂䅁䅁䅯睃䅁䅁䅅䅁䉁䅁䅁兂䅁䅁䅁瑬浰兑杷允䅁䅁䅕䅁䑁䅁䅷䅁䭁䉁䅯䅁䭁䍁䅉䅁䭁䅁䅕䅁䭁䉁䅑䅁䉁䅁䅁允䅁䅁䅕䅁䅁䍁㑂あ䵅䅉䅅䅁䙁䅁䅁睁䵁䅁䅁权䅁䅁䅁权楁䅁䅁权䙁䅁䅁权允䅁䅁允䅁䅁䅅䅁䙁䅁䅁䅁䅂䅁䉰䍄䉁䅁䅁兂䅁䅁䅍䅄䅁䅁䅯杈䅁䅁䅯睉䅁䅁䅯兂䅁䅁䅯䅇䅁䅁䅅䅁䉁䅁䅁兂桄桥佑䉙硍兑杷允䅁䅁䅕䅁䑁䅁䅷䅁䭁䅁䅁䅁䭁䍁䅉䅁䭁䅁䅕䅁䭁䅁䅍䅁䉁䅁䅁允䅁䅁䅕䅁䅁䵁㑁ぃ䵅䅉䅅䅁䙁䅁䅁睁䵁䅁䅁权敁䅁䅁权橁䅁䅁权䙁䅁䅁权塁䅁䅁允䅁䅁䅅䅁䙁䱁穢搯⽓䑋䉒䍄䉁䅁䅁兂䅁䅁䅍䅄䅁䅁䅯䅁䅁䅁䅯杉䅁䅁䅯兂䅁䅁䅯睅䅁䅁䅅䅁䉁䅁䅁兂䅁䅁䅁䍑啑兑杷允䅁䅁䅕䅁䑁䅁䅷䅁䭁䅁䅁䅁䭁䍁䅉䅁䭁䅁䅕䅁䭁䉁䅑䅁䉁䅁䅁允䅁䅁䅕䅁䅁䝁灄商䵅䅉䅅䅁䙁䅁䅁睁䵁䅁䅁权敁䅁䅁权楁䅁䅁权䙁䅁䅁权䡁䅁䅁允䅁䅁䅅䅁䙁䉁奂扏奒瑁䅊䍄䉁䅁䅁兂䅁䅁䅍䅄䅁䅁䅯䅁䅁䅁䅯杉䅁䅁䅯兂䅁䅁䅯权䅁䅁䅅䅁䉁䅁䅁兂䅁䅁䅁佁䥣兑杷允䅁䅁䅕䅁䑁䅁䅷䅁䭁䅁䅁䅁䭁䍁䅉䅁䭁䅁䅕䅁䭁䅁䅳䅁䉁䅁䅁允䅁䅁䅕䅁䅁䭁䱃商䵅䅉䅅䅁䙁䅁䅁睁䵁䅁䅁权䅁䅁䅁权楁䅁䅁权䙁䅁䅁权乁䅁䅁允䅁䅁䅅䅁䙁䅁䅁䅁杂䉢䉖䍄䉁䅁䅁兂䅁䅁䅍䅄䅁䅁䅯䅁䅁䅁䅯杉䅁䅁䅯兂䅁䅁䅯杄䅁䅁䅅䅁䉁䅁䅁兂䅁䅁䅁䙷坙兑杷允䅁䅁䅕䅁䑁䅁䅷䅁䭁䅁䅁䅁䭁䍁䅉䅁䭁䅁䅕䅁䭁䉁䅧䅁䉁䅁䅁允䅁䅁䅕䅁䅁䍁癁歇䵅䅉䅅䅁䙁䅁䅁睁䵁䅁䅁权捁䅁䅁权橁䅁䅁权䙁䅁䅁权䱁䅁䅁允䅁䅁䅅䅁䙁䅁䅁䅁啃䕥䉤䍄䉁䅁䅁兂䅁䅁䅍䅄䅁䅁䅯䅁䅁䅁䅯杉䅁䅁䅯兂䅁䅁䅯䅃䅁䅁䅅䅁䉁䅁䅁兂䅁䅁䅁䍑啑兑杷允䅁䅁䅕䅁䑁䅁䅷䅁䭁䅁䅁䅁䭁䍁䅉䅁䭁䅁䅕䅁䭁䉁䅙䅁䉁䅁䅁允䅁䅁䅕䅁䅁䥁㥁商䵅䅉䅅䅁䙁䅁䅁睁䵁䅁䅁权摁䅁䅁权楁䅁䅁权䙁䅁䅁权湁䅁䅁允䅁䅁䅅䅁䙁䅁䅁䅁䥃杕䉬䍄䉁䅁䅁兂䅁䅁䅍䅄䅁䅁䅯䅁䅁䅁䅯杉䅁䅁䅯兂䅁䅁䅯睆䅁䅁䅅䅁䉁䅁䅁兂䅁䅁䅁䨴奧兑杷允䅁䅁䅕䅁䑁䅁䅷䅁䭁䅁䅁䅁䭁䍁䅉䅁䭁䅁䅕䅁䭁䉁䅫䅁䉁䅁䅁允䅁䅁䅕䅁䅁䍁時歅䵅䅉䅅䅁䙁䅁䅁睁䵁䅁䅁权䅁䅁䅁权橁䅁䅁权䙁䅁䅁权䑁䅁䅁允䅁䅁䅅䅁䙁䅁䅁䅁㑁㉚䉂䍄䉁䅁䅁兂䅁䅁䅍䅄䅁䅁䅯䅈䅁䅁䅯睉䅁䅁䅯兂䅁䅁䅯䅃䅁䅁䅅䅁䉁䅁䅁兂䅁䅁䅁洴䡊兑杷允䅁䅁䅕䅁䑁䅁䅷䅁䭁䅁䅁䅁䭁䍁䅍䅁䭁䅁䅕䅁䭁䅁䅫䅁䉁䅁䅁允䅁䅁䅕䅁䅁䕁睮啙䵅䅉䅅䅁䙁䅁䅁睁䵁䅁䅁权捁䅁䅁权橁䅁䅁权䙁䅁䅁权佁䅁䅁允䅁䅁䅅䅁䙁䅁䅁䕁灄噳䉊䍄䉁䅁䅁兂䅁䅁䅍䅄䅁䅁䅯䅁䅁䅁䅯睉䅁䅁䅯兂䅁䅁䅯䅄䅁䅁䅅䅁䉁䅁䅁兂䅁䅁䅁卪浂兑杷允䅁䅁䅕䅁䑁䅁䅷䅁䭁䅁䅁䅁䭁䍁䅍䅁䭁䅁䅕䅁䭁䅁䄰䅁䉁䅁䅁允䅁䅁䅕䅁䅁偁楔啡䵅䅉䅅䅁䙁䅁䅁睁䵁䅁䅁权慁䅁䅁权橁䅁䅁权䙁䅁䅁权䡁䅁䅁允䅁䅁䅅䅁䙁䅁䅁䅁㕁步䉚䍄䉁䅁䅁兂䅁䅁䅍䅄䅁䅁䅯䅁䅁䅁䅯睉䅁䅁䅯兂䅁䅁䅯杄䅁䅁䅅䅁䉁䅁䅁兂䅁䅁䅁摔瑆兑杷允䅁䅁䅕䅁䑁䅁䅷䅁䭁䉁䄴䅁䭁䍁䅉䅁䭁䅁䅕䅁䭁䅁䅯䅁䉁䅁䅁允䅁䅁䅕体㙆但䅚欰䵁䅉䅅䅁䙁䅁䅁睁䵁䅁䅁权䅁䅁䅁权橁䅁䅁权䙁䅁䅁权偁䅁䅁允䅁䅁䅅䅁䙁䅁䅁䅁䉄㉒䉖䍄䉁䅁䅁兂䅁䅁䅍䅄䅁䅁䅯䅁䅁䅁䅯睉䅁䅁䅯兂䅁䅁䅯䅅䅁䅁䅅䅁䉁䅁䅁兂䅁䅁䅁ㅯ歊兑杷允䅁䅁䅕䅁䑁䅁䅷䅁䭁䅁䅁䅁䭁䍁䅍䅁䭁䅁䅕䅁䭁䉁䅅䅁䉁䅁䅁允䅁䅁䅕䅁䅁䕁潵歚䵅䅉䅅䅁䙁䅁䅁睁䵁䅁䅁权䅁䅁䅁权橁䅁䅁权䙁䅁䅁权䥁䅁䅁允䅁䅁䅅䅁䙁䅁䅁䅁㉄浹䉚䍄䉁䅁䅁兂䅁䅁䅍䅄䅁䅁䅯䅁䅁䅁䅯睉䅁䅁䅯兂䅁䅁䅯睆䅁䅁䅅䅁䉁䅁䅁兂䅁䅁䅁⭭潊兑杷允䅁䅁䅕䅁䑁䅁䅷䅁䭁䅁䅁䅁䭁䍁䅍䅁䭁䅁䅕䅁䭁䉁䅑䅁䉁䅁䅁允䅁䅁䅕䅁䅁䡁摱歡䵅䅉䅅䅁䙁䅁䅁睁䵁䅁䅁权䅁䅁䅁权橁䅁䅁权䙁䅁䅁权婁䅁䅁允䅁䅁䅅䅁䙁䅁䅁䅁敂圹䉰䍄䉁䅁䅁兂䅁䅁䅍䅄䅁䅁䅯杇䅁䅁䅯睉䅁䅁䅯兂䅁䅁䅯睁䅁䅁䅅䅁䉁䅁䅁兂䅁䅁䅃䉬䑎兑杷允䅁䅁䅕䅁䑁䅁䅷䅁䭁䉁䅯䅁䭁䍁䅍䅁䭁䅁䅕䅁䭁䅁䅯䅁䉁䅁䅁允䅁䅁䅕䅁䅁䑷䉷啕䵅䅉䅅䅁䙁䅁䅁睁䵁䅁䅁权摁䅁䅁权楁䅁䅁权䙁䅁䅁权流䅁䅁允䅁䅁䅅䅁䙁䅁䅁䅁㑁內䉚䍄䉁䅁䅁兂䅁䅁䅍䅄䅁䅁䅯杇䅁䅁䅯睉䅁䅁䅯兂䅁䅁䅯䅄䅁䅁䅅䅁䉁䅁䅁兂䅁䅁䅄畅匵兑杷允䅁䅁䅕䅁䑁䅁䅷䅁䭁䉁䅯䅁䭁䍁䅍䅁䭁䅁䅕䅁䭁䅁䄰䅁䉁䅁䅁允䅁䅁䅕䅁䅁䙧晬䕗䵅䅉䅅䅁䙁䅁䅁睁䵁䅁䅁权敁䅁䅁权楁䅁䅁权䙁䅁䅁权佁䅁䅁允䅁䅁䅅䅁䙁偁㥔䠱剨买䅰䍄䉁䅁䅁兂䅁䅁䅍䅄䅁䅁䅯杇䅁䅁䅯睉䅁䅁䅯兂䅁䅁䅯充䅁䅁䅅䅁䉁䅁䅁兂䅁䅁䅂䉩坒兑杷允䅁䅁䅕䅁䑁䅁䅷䅁䭁䉁䄴䅁䭁䍁䅍䅁䭁䅁䅕䅁䭁䉁䅑䅁䉁䅁䅁允䅁䅁䅕倹唳䡵䡺䕍䵅䅉䅅䅁䙁䅁䅁睁䵁䅁䅁权慁䅁䅁权橁䅁䅁权䙁䅁䅁权䥁䅁䅁允䅁䅁䅅䅁䙁䅁䅁䥁佄䙶䉊䍄䉁䅁䅁兂䅁䅁䅍䅄䅁䅁䅯杇䅁䅁䅯睉䅁䅁䅯兂䅁䅁䅯杅䅁䅁䅅䅁䉁䅁䅁兂䅁䅁䅃㡅啸兑杷允䅁䅁䅕䅁䑁䅁䅷䅁䭁䉁䅯䅁䭁䍁䅍䅁䭁䅁䅕䅁䭁䉁䅧䅁䉁䅁䅁允䅁䅁䅕䅁䅁䱷煢歗䵅䅉䅅䅁䙁䅁䅁睁䵁䅁䅁权摁䅁䅁权橁䅁䅁权䙁䅁䅁权䑁䅁䅁允䅁䅁䅅䅁䙁䅁䅁䥁獃䙍䉒䍄䉁䅁䅁兂䅁䅁䅍䅄䅁䅁䅯杈䅁䅁䅯睉䅁䅁䅯兂䅁䅁䅯权䅁䅁䅅䅁䉁䅁䅁兂潂敫㠰乚瑣兑杷允䅁䅁䅕䅁䑁䅁䅷䅁䭁䉁䅯䅁䭁䍁䅍䅁䭁䅁䅕䅁䭁䉁䅑䅁䉁䅁䅁允䅁䅁䅕䅁䅁䉧煍䕘䵅䅉䅅䅁䙁䅁䅁睁䵁䅁䅁权捁䅁䅁权橁䅁䅁权䙁䅁䅁权剁䅁䅁允䅁䅁䅅䅁䙁䅁䅁䥁楂䔷䉤䍄䉁䅁䅁兂䅁䅁䅍䅄䅁䅁䅯睈䅁䅁䅯杉䅁䅁䅯兂䅁䅁䅯兒䅁䅁䅅䅁䉁䅁䅁兂䅁䅁䅁䙯湔䅑杷允䅁䅁䅕䅁䑁䅁䅷䅁䭁䉁䅷䅁䭁䍁䅍䅁䭁䅁䅕䅁䭁䅁䅍䅁䉁䅁䅁允䅁䅁䅕䅁䅁䭧㉡啑䵅䅉䅅䅁䙁䅁䅁睁䵁䅁䅁权捁䅁䅁权橁䅁䅁权䙁䅁䅁权䡁䅁䅁允䅁䅁䅅䅁䙁䅁䅁䅁㍁呪䈹䍄䉁䅁䅁兂䅁䅁䅍䅄䅁䅁䅯䅈䅁䅁䅯睉䅁䅁䅯兂䅁䅁䅯睆䅁䅁䅅䅁䉁䅁䅁兂䅁䅁䅂湕党兑杷允䅁䅁䅕䅁䑁䅁䅷䅁䭁䉁䅷䅁䭁䍁䅍䅁䭁䅁䅕䅁䭁䅁䅫䅁䉁䅁䅁允䅁䅁䅕䅁䅁䙧橅䕑䵅䅉䅅䅁䙁䅁䅁睁䵁䅁䅁权捁䅁䅁权橁䅁䅁权䙁䅁䅁权偁䅁䅁允䅁䅁䅅䅁䙁䅁䅁䅁畁䕭䉖䍄䉁䅁䅁兂䅁䅁䅍䅄䅁䅁䅯䅈䅁䅁䅯睉䅁䅁䅯兂䅁䅁䅯睅䅁䅁䅅䅁䉁䅁䅁兂䅁䅁䅁䥑䡨兑杷允䅁䅁䅕䅁䑁䅁䅷䅁䭁䉁䅷䅁䭁䍁䅍䅁䭁䅁䅕䅁䭁䉁䅉䅁䉁䅁䅁允䅁䅁䅕䅁䅁䑧楏げ䵅䅉䅅䅁䙁䅁䅁睁䵁䅁䅁权捁䅁䅁权橁䅁䅁权䙁䅁䅁权坁䅁䅁允䅁䅁䅅䅁䙁䅁䅁䅁奄䔷䉨䍄䉁䅁䅁兂䅁䅁䅍䅄䅁䅁䅯䅈䅁䅁䅯睉䅁䅁䅯兂䅁䅁䅯兇䅁䅁䅅䅁䉁䅁䅁兂䅁䅁䅁㐫吵兑杷允䅁䅁䅕䅁䑁䅁䅷䅁䭁䉁䄰䅁䭁䍁䅉䅁䭁䅁䅕䅁䭁䍁䅑䅁䉁䅁䅁允䅁䅁䅕䅁䅁䱁䝁唫䵁䅉䅅䅁䙁䅁䅁睁䵁䅁䅁权敁䅁䅁权橁䅁䅁权䙁䅁䅁权佁䅁䅁允䅁䅁䅅䅁䙁䱁昶歇是穃䉂䍄䉁䅁䅁兂䅁䅁䅍䅄䅁䅁䅯先䅁䅁䅯杉䅁䅁䅯兂䅁䅁䅯兊䅁䅁䅅䅁䉁䅁䅁兂䅁䅁䅁䱙㥺䅑杷允䅁䅁䅕䅁䑁䅁䅷䅁䭁䉁䄰䅁䭁䍁䅍䅁䭁䅁䅕䅁䭁䅁䅣䅁䉁䅁䅁允䅁䅁䅕䅁䅁佷湧啖䵅䅉䅅䅁䙁䅁䅁睁䵁䅁䅁权摁䅁䅁权楁䅁䅁权䙁䅁䅁权潁䅁䅁允䅁䅁䅅䅁䙁䅁䅁䅁杂時䄱䍄䉁䅁䅁兂䅁䅁䅍䅄䅁䅁䅯先䅁䅁䅯杉䅁䅁䅯兂䅁䅁䅯克䅁䅁䅅䅁䉁䅁䅁兂䅁䅁䅁䉷⭮䅑杷允䅁䅁䅕䅁䑁䅁䅷䅁䭁䉁䄴䅁䭁䍁䅍䅁䭁䅁䅕䅁䭁䅁䅧䅁䉁䅁䅁允䅁䅁䅕㥆佮⭎充歌䵅䅉䅅䅁䙁䅁䅁睁䵁䅁䅁权摁䅁䅁权楁䅁䅁权䙁䅁䅁权煁䅁䅁允䅁䅁䅅䅁䙁䅁䅁䅁㑁兏䉤䍄䉁䅁䅁兂䅁䅁䅍䅄䅁䅁䅯先䅁䅁䅯杉䅁䅁䅯兂䅁䅁䅯䅌䅁䅁䅅䅁䉁䅁䅁兂䅁䅁䅁䉷䰰兑杷允䅁䅁䅕䅁䑁䅁䅷䅁䭁䉁䄸䅁䭁䍁䅍䅁䭁䅁䅕䅁䭁䉁䅅䅁䉁䅁䅁允䅁䅁䅕䅁䅁䑁浫き䵅䅉䅅䅁䙁䅁䅁睁䵁䅁䅁权摁䅁䅁权楁䅁䅁权䙁䅁䅁权硁䅁䅁允䅁䅁䅅䅁䙁䅁䅁䅁䥂䅉䉨䍄䉁䅁䅁兂䅁䅁䅍䅄䅁䅁䅯先䅁䅁䅯睉䅁䅁䅯兂䅁䅁䅯睃䅁䅁䅅䅁䉁䅁䅁兂䅁䅁䅃湦扎兑杷允䅁䅁䅕䅁䑁䅁䅷䅁䭁䉁䄰䅁䭁䍁䅍䅁䭁䅁䅕䅁䭁䅁䅷䅁䉁䅁䅁允䅁䅁䅕䅁䅁乷眯歗䵅䅉䅅䅁䙁䅁䅁睁䵁䅁䅁权敁䅁䅁权橁䅁䅁权䙁䅁䅁权十䅁䅁允䅁䅁䅅䅁䙁䥁牘晕㑧华䈹䍄䉁䅁䅁兂䅁䅁䅍䅄䅁䅁䅯先䅁䅁䅯睉䅁䅁䅯兂䅁䅁䅯兄䅁䅁䅅䅁䉁䅁䅁兂䅁䅁䅄䥰摤兑杷允䅁䅁䅕䅁䑁䅁䅷䅁䭁䉁䄰䅁䭁䍁䅍䅁䭁䅁䅕䅁䭁䉁䅁䅁䉁䅁䅁允䅁䅁䅕䅁䅁䙧噲歗䵅䅉䅅䅁䙁䅁䅁睁䵁䅁䅁权摁䅁䅁权橁䅁䅁权䙁䅁䅁权呁䅁䅁允䅁䅁䅅䅁䙁䅁䅁䅁啁ㅸ䉴䍄䉁䅁䅁兂䅁䅁䅍䅄䅁䅁䅯先䅁䅁䅯睉䅁䅁䅯兂䅁䅁䅯杅䅁䅁䅅䅁䉁䅁䅁兂䅁䅁䅃祋捰兑杷允䅁䅁䅕䅁䑁䅁䅷䅁䭁䉁䄴䅁䭁䍁䅉䅁䭁䅁䅕䅁䭁䉁䅁䅁䉁䅁䅁允䅁䅁䅕㡪ㅌ䡋䭸〰䵁䅉䅅䅁䙁䅁䅁睁䵁䅁䅁权摁䅁䅁权橁䅁䅁权䙁䅁䅁权塁䅁䅁允䅁䅁䅅䅁䙁䅁䅁䅁楁噓䉸䍄䉁䅁䅁兂䅁䅁䅍䅄䅁䅁䅯睈䅁䅁䅯睉䅁䅁䅯兂䅁䅁䅯睃䅁䅁䅅䅁䉁䅁䅁兂䅁䅁䅁䑭㉳兑杷允䅁䅁䅕䅁䑁䅁䅷䅁䭁䉁䄰䅁䭁䍁䅍䅁䭁䅁䅕䅁䭁䉁䅧䅁䉁䅁䅁允䅁䅁䅕䅁䅁佧祬䕘䵅䅉䅅䅁䙁䅁䅁睁䵁䅁䅁权敁䅁䅁权楁䅁䅁权䙁䅁䅁权塁䅁䅁允䅁䅁䅅䅁䙁䕁桪桥㉒佢䅆䍄䉁䅁䅁兂䅁䅁䅍䅄䅁䅁䅯先䅁䅁䅯睉䅁䅁䅯兂䅁䅁䅯䅆䅁䅁䅅䅁䉁䅁䅁兂䅁䅁杁㉓橆兑杷允䅁䅁䅕䅁䑁䅁䅷䅁䭁䉁䄸䅁䭁䍁䅉䅁䭁䅁䅕䅁䭁䕁䅉䅁䉁䅁䅁允䅁䅁䅕䅁䅁佁塁欵䵁䅉䅅䅁䙁䅁䅁睁䵁䅁䅁权敁䅁䅁权橁䅁䅁权䙁䅁䅁权䡁䅁䅁允䅁䅁䅅䅁䙁䝁光䱗䱭礯䈱䍄䉁䅁䅁兂䅁䅁䅍䅄䅁䅁䅯睈䅁䅁䅯杉䅁䅁䅯兂䅁䅁䅯兏䅁䅁䅅䅁䉁䅁䅁兂䅁䅁䅁䩧敌䅑杷允䅁䅁䅕䅁䑁䅁䅷䅁䭁䉁䄴䅁䭁䍁䅍䅁䭁䅁䅕䅁䭁䅁䅫䅁䉁䅁䅁允䅁䅁䅕匳䝑摁⭷歌䵅䅉䅅䅁䙁䅁䅁睁䵁䅁䅁权敁䅁䅁权楁䅁䅁权䙁䅁䅁权剁䅁䅁允䅁䅁䅅䅁䙁䍁硣䭃䵹摸䅒䍄䉁䅁䅁兂䅁䅁䅍䅄䅁䅁䅯杈䅁䅁䅯杉䅁䅁䅯兂䅁䅁䅯元䅁䅁䅅䅁䉁䅁䅁兂䕂㉩湺ㅹ剮䅑杷允䅁䅁䅕䅁䑁䅁䅷䅁䭁䉁䄴䅁䭁䍁䅍䅁䭁䅁䅕䅁䭁䅁䅳䅁䉁䅁䅁允䅁䅁䅕浑汄䥅䝅歌䵅䅉䅅䅁䙁䅁䅁睁䵁䅁䅁权敁䅁䅁权橁䅁䅁权䙁䅁䅁权䵁䅁䅁允䅁䅁䅅䅁䙁偁湃潸䵳卮䈱䍄䉁䅁䅁兂䅁䅁䅍䅄䅁䅁䅯杈䅁䅁䅯睉䅁䅁䅯兂䅁䅁䅯睄䅁䅁䅅䅁䉁䅁䅁兂桄桥畓甲畕兑杷允䅁䅁䅕䅁䑁䅁䅷䅁䭁䉁䄴䅁䭁䍁䅍䅁䭁䅁䅕䅁䭁䉁䅁䅁䉁䅁䅁允䅁䅁䅕䵴㉨漯攵が䵅䅉䅅䅁䙁䅁䅁睁䵁䅁䅁权敁䅁䅁权橁䅁䅁权䙁䅁䅁权呁䅁䅁允䅁䅁䅅䅁䙁䭁扡䭸䱁祺䉸䍄䉁䅁䅁兂䅁䅁䅍䅄䅁䅁䅯杈䅁䅁䅯杉䅁䅁䅯兂䅁䅁䅯睅䅁䅁䅅䅁䉁䅁䅁兂䥁䉲慸䡰坶䅑杷允䅁䅁䅕䅁䑁䅁䅷䅁䭁䉁䄴䅁䭁䍁䅍䅁䭁䅁䅕䅁䭁䉁䅙䅁䉁䅁䅁允䅁䅁䅕㝤昶煭湐き䵅䅉䅅䅁䙁䅁䅁睁䵁䅁䅁权敁䅁䅁权橁䅁䅁权䙁䅁䅁权噁䅁䅁允䅁䅁䅅䅁䙁佁浫捍塩卋䈹䍄䉁䅁䅁兂䅁䅁䅍䅄䅁䅁䅯杈䅁䅁䅯杉䅁䅁䅯兂䅁䅁䅯䅇䅁䅁䅅䅁䉁䅁䅁兂剄瑉㕶牳杪䅑杷允䅁䅁䅕䅁䑁䅁䅷䅁䭁䉁䄴䅁䭁䍁䅉䅁䭁䅁䅕䅁䭁䉁䅑䅁䉁䅁䅁允䅁䅁䅕㡪ㅌ之へ〳䵁䅉䅅䅁䙁䅁䅁睁䵁䅁䅁权敁䅁䅁权橁䅁䅁权䙁䅁䅁权婁䅁䅁允䅁䅁䅅䅁䙁䭁䝪㕓睤䐷䉆䍄䉁䅁䅁兂䅁䅁䅍䅄䅁䅁䅯睈䅁䅁䅯睉䅁䅁䅯兂䅁䅁䅯睄䅁䅁䅅䅁䉁䅁䅁兂䅁䅁䅁䉲祧兑杷允䅁䅁䅕䅁䑁䅁䅷䅁䭁䉁䄸䅁䭁䍁䅍䅁䭁䅁䅕䅁䭁䉁䅉䅁䉁䅁䅁允䅁䅁䅕䅁䅁䩁婺ぎ䵅䅉䅅䅁䙁䅁䅁睁䵁䅁䅁权晁䅁䅁权橁䅁䅁权䙁䅁䅁权䡁䅁䅁允䅁䅁䅅䅁䙁䅁䅁䅁灁橖䉂䍄䉁䅁䅁兂䅁䅁䅍䅄䅁䅁䅯睈䅁䅁䅯杉䅁䅁䅯兂䅁䅁䅯杏䅁䅁䅅䅁䉁䅁䅁兂䅁䅁䅁偉欯䅑杷允䅁䅁䅕䅁䑁䅁䅷䅁䭁䉁䄸䅁䭁䍁䅉䅁䭁䅁䅕䅁䭁䑁䅳䅁䉁䅁䅁允䅁䅁䅕䅁䅁䵁㡁䔷䵁䅉䅅䅁䙁䅁䅁睁䵁䅁䅁权晁䅁䅁权楁䅁䅁权䙁䅁䅁权㡁䅁䅁允䅁䅁䅅䅁䙁䅁䅁䅁䅃丷䅬䍄䉁䅁䅁兂䅁䅁䅍䅄䅁䅁䅯睈䅁䅁䅯杉䅁䅁䅯兂䅁䅁䅯児䅁䅁䅅䅁䉁䅁䅁兂䅁䅁䅁䑷湲䅑杷允䅁䅁䅕䅁䑁䅁䅷䅁䭁䉁䄸䅁䭁䍁䅉䅁䭁䅁䅕䅁䭁䑁䄴䅁䉁䅁䅁允䅁䅁䅕䅁䅁䕁睁〵䵁䅉䅅䅁䙁䅁䅁睁䵁䅁䅁权晁䅁䅁权楁䅁䅁权䙁䅁䅁权䉂䅁䅁允䅁䅁䅅䅁䙁䅁䅁䅁杄⭌䅴䍄䉁䅁䅁兂䅁䅁䅍䅄䅁䅁䅯睈䅁䅁䅯睉䅁䅁䅯兂䅁䅁䅯兄䅁䅁䅅䅁䉁䅁䅁兂䅁䅁䅁奢㡯兑杷允䅁䅁䅕䅁䑁䅁䅷䅁䭁䉁䄸䅁䭁䍁䅍䅁䭁䅁䅕䅁䭁䅁䄴䅁䉁䅁䅁允䅁䅁䅕䅁䅁䍁㤳く䵅䅉䅅䅁䙁䅁䅁睁䵁䅁䅁权晁䅁䅁权楁䅁䅁权䙁䅁䅁权䝂䅁䅁允䅁䅁䅅䅁䙁䅁䅁䅁䅂⭵䅚䍄䉁䅁䅁兂䅁䅁䅍䅄䅁䅁䅯睈䅁䅁䅯杉䅁䅁䅯兂䅁䅁䅯睒䅁䅁䅅䅁䉁䅁䅁兂䅁䅁䅁䕙穢䅑杷允䅁䅁䅕䅁䑁䅁䅷䅁䭁䉁䄸䅁䭁䍁䅍䅁䭁䅁䅕䅁䭁䉁䅕䅁䉁䅁䅁允䅁䅁䅕䅁䅁䅁䙘䕏䵅䅉䅅䅁䙁䅁䅁睁䵁䅁䅁权晁䅁䅁权橁䅁䅁权䙁䅁䅁权允䅁䅁允䅁䅁䅅䅁䙁䅁䅁䅁浃穇䉆䍄䉁䅁䅁兂䅁䅁䅍䅄䅁䅁䅯睈䅁䅁䅯睉䅁䅁䅯兂䅁䅁䅯䅃䅁䅁䅅䅁䉁䅁䅁兂䅁䅁䅁祕㝯兑杷允䅁䅁䅕䅁䑁䅁䅷䅁䭁䉁䄸䅁䭁䍁䅍䅁䭁䅁䅕䅁䭁䉁䅧䅁䉁䅁䅁允䅁䅁䅕䅁䅁䙁䍙啐䵅䅉䅅䅁䙁䅁䅁睁䵁䅁䅁权晁䅁䅁权楁䅁䅁权䙁䅁䅁权䩂䅁䅁允䅁䅁䅅䅁䙁䅁䅁䅁杁佹䅰䍄䉁䅁䅁兂䅁䅁䅍䅄䅁䅁䅯睈䅁䅁䅯睉䅁䅁䅯兂䅁䅁䅯睆䅁䅁䅅䅁䉁䅁䅁兂䅁䅁䅁千㙍兑杷允䅁䅁䅕䅁䑁䅁䅷䅁䭁䉁䄸䅁䭁䍁䅍䅁䭁䅁䅕䅁䭁䉁䅫䅁䉁䅁䅁允䅁䅁䅕䅁䅁䙁失歏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</si>
</sst>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164" formatCode="\$#,##0.00"/>
    <numFmt numFmtId="165" formatCode="\$#,##0"/>
    <numFmt numFmtId="166" formatCode="0.0%"/>
    <numFmt numFmtId="167" formatCode="\$#,##0.0"/>
    <numFmt numFmtId="168" formatCode="#,##0_);\(#,##0\);&quot;--&quot;_)"/>
  </numFmts>
  <fonts count="18" x14ac:knownFonts="1">
    <font>
      <sz val="11"/>
      <color theme="1"/>
      <name val="Calibri"/>
      <family val="2"/>
      <scheme val="minor"/>
    </font>
    <font>
      <b/>
      <sz val="13"/>
      <color rgb="FF0C2340"/>
      <name val="Arial"/>
    </font>
    <font>
      <sz val="9"/>
      <color rgb="FF888888"/>
      <name val="Arial"/>
    </font>
    <font>
      <b/>
      <sz val="10"/>
      <name val="Arial"/>
    </font>
    <font>
      <sz val="10"/>
      <name val="Arial"/>
    </font>
    <font>
      <sz val="10"/>
      <color rgb="FF0000FF"/>
      <name val="Arial"/>
    </font>
    <font>
      <sz val="10"/>
      <color rgb="FF0F2FB5"/>
      <name val="Arial"/>
      <family val="2"/>
    </font>
    <font>
      <b/>
      <sz val="10"/>
      <color rgb="FFFFFFFF"/>
      <name val="Segoe UI"/>
      <family val="2"/>
    </font>
    <font>
      <b/>
      <sz val="10"/>
      <name val="Segoe UI"/>
      <family val="2"/>
    </font>
    <font>
      <sz val="10"/>
      <name val="Segoe UI"/>
      <family val="2"/>
    </font>
    <font>
      <sz val="10"/>
      <color rgb="FF0000FF"/>
      <name val="Segoe UI"/>
      <family val="2"/>
    </font>
    <font>
      <sz val="10"/>
      <color rgb="FF0F2FB5"/>
      <name val="Segoe UI"/>
      <family val="2"/>
    </font>
    <font>
      <b/>
      <sz val="10"/>
      <color rgb="FF0C2340"/>
      <name val="Segoe UI"/>
      <family val="2"/>
    </font>
    <font>
      <sz val="10"/>
      <color theme="1"/>
      <name val="Segoe UI"/>
      <family val="2"/>
    </font>
    <font>
      <sz val="10"/>
      <color rgb="FF888888"/>
      <name val="Segoe UI"/>
      <family val="2"/>
    </font>
    <font>
      <sz val="10"/>
      <color rgb="FFC00000"/>
      <name val="Segoe UI"/>
      <family val="2"/>
    </font>
    <font>
      <sz val="11"/>
      <color rgb="FF0F2FB5"/>
      <name val="Calibri"/>
      <family val="2"/>
      <scheme val="minor"/>
    </font>
    <font>
      <b/>
      <sz val="10"/>
      <color rgb="FF0F2FB5"/>
      <name val="Arial"/>
      <family val="2"/>
    </font>
  </fonts>
  <fills count="7">
    <fill>
      <patternFill patternType="none"/>
    </fill>
    <fill>
      <patternFill patternType="gray125"/>
    </fill>
    <fill>
      <patternFill patternType="solid">
        <fgColor rgb="FF0C2340"/>
      </patternFill>
    </fill>
    <fill>
      <patternFill patternType="solid">
        <fgColor rgb="FF1E3A5F"/>
      </patternFill>
    </fill>
    <fill>
      <patternFill patternType="solid">
        <fgColor rgb="FFFFFFCC"/>
      </patternFill>
    </fill>
    <fill>
      <patternFill patternType="solid">
        <fgColor rgb="FFF8FAFC"/>
      </patternFill>
    </fill>
    <fill>
      <patternFill patternType="solid">
        <fgColor rgb="FFFFFFCC"/>
        <bgColor indexed="64"/>
      </patternFill>
    </fill>
  </fills>
  <borders count="3">
    <border>
      <left/>
      <right/>
      <top/>
      <bottom/>
      <diagonal/>
    </border>
    <border>
      <left/>
      <right/>
      <top/>
      <bottom style="medium">
        <color rgb="FF0C2340"/>
      </bottom>
      <diagonal/>
    </border>
    <border>
      <left/>
      <right/>
      <top/>
      <bottom style="thin">
        <color rgb="FFD0D5DD"/>
      </bottom>
      <diagonal/>
    </border>
  </borders>
  <cellStyleXfs count="1">
    <xf numFmtId="0" fontId="0" fillId="0" borderId="0"/>
  </cellStyleXfs>
  <cellXfs count="83">
    <xf numFmtId="0" fontId="0" fillId="0" borderId="0" xfId="0"/>
    <xf numFmtId="0" fontId="3" fillId="0" borderId="2" xfId="0" applyFont="1" applyBorder="1"/>
    <xf numFmtId="0" fontId="4" fillId="0" borderId="2" xfId="0" applyFont="1" applyBorder="1"/>
    <xf numFmtId="164" fontId="5" fillId="4" borderId="2" xfId="0" applyNumberFormat="1" applyFont="1" applyFill="1" applyBorder="1"/>
    <xf numFmtId="10" fontId="5" fillId="4" borderId="2" xfId="0" applyNumberFormat="1" applyFont="1" applyFill="1" applyBorder="1"/>
    <xf numFmtId="166" fontId="4" fillId="0" borderId="2" xfId="0" applyNumberFormat="1" applyFont="1" applyBorder="1"/>
    <xf numFmtId="0" fontId="3" fillId="5" borderId="2" xfId="0" applyFont="1" applyFill="1" applyBorder="1"/>
    <xf numFmtId="0" fontId="4" fillId="5" borderId="2" xfId="0" applyFont="1" applyFill="1" applyBorder="1"/>
    <xf numFmtId="166" fontId="4" fillId="5" borderId="2" xfId="0" applyNumberFormat="1" applyFont="1" applyFill="1" applyBorder="1"/>
    <xf numFmtId="0" fontId="0" fillId="0" borderId="2" xfId="0" applyBorder="1"/>
    <xf numFmtId="0" fontId="0" fillId="5" borderId="2" xfId="0" applyFill="1" applyBorder="1"/>
    <xf numFmtId="164" fontId="6" fillId="0" borderId="2" xfId="0" applyNumberFormat="1" applyFont="1" applyBorder="1"/>
    <xf numFmtId="165" fontId="6" fillId="0" borderId="2" xfId="0" applyNumberFormat="1" applyFont="1" applyBorder="1"/>
    <xf numFmtId="164" fontId="6" fillId="5" borderId="2" xfId="0" applyNumberFormat="1" applyFont="1" applyFill="1" applyBorder="1"/>
    <xf numFmtId="165" fontId="6" fillId="5" borderId="2" xfId="0" applyNumberFormat="1" applyFont="1" applyFill="1" applyBorder="1"/>
    <xf numFmtId="166" fontId="6" fillId="0" borderId="2" xfId="0" applyNumberFormat="1" applyFont="1" applyBorder="1"/>
    <xf numFmtId="166" fontId="6" fillId="5" borderId="2" xfId="0" applyNumberFormat="1" applyFont="1" applyFill="1" applyBorder="1"/>
    <xf numFmtId="167" fontId="6" fillId="0" borderId="2" xfId="0" applyNumberFormat="1" applyFont="1" applyBorder="1"/>
    <xf numFmtId="167" fontId="6" fillId="5" borderId="2" xfId="0" applyNumberFormat="1" applyFont="1" applyFill="1" applyBorder="1"/>
    <xf numFmtId="0" fontId="7" fillId="2" borderId="1" xfId="0" applyFont="1" applyFill="1" applyBorder="1" applyAlignment="1">
      <alignment horizontal="center" wrapText="1"/>
    </xf>
    <xf numFmtId="0" fontId="7" fillId="3" borderId="1" xfId="0" applyFont="1" applyFill="1" applyBorder="1" applyAlignment="1">
      <alignment horizontal="center" wrapText="1"/>
    </xf>
    <xf numFmtId="0" fontId="7" fillId="2" borderId="0" xfId="0" applyFont="1" applyFill="1" applyBorder="1" applyAlignment="1">
      <alignment horizontal="center" wrapText="1"/>
    </xf>
    <xf numFmtId="167" fontId="11" fillId="0" borderId="2" xfId="0" applyNumberFormat="1" applyFont="1" applyBorder="1"/>
    <xf numFmtId="167" fontId="11" fillId="5" borderId="2" xfId="0" applyNumberFormat="1" applyFont="1" applyFill="1" applyBorder="1"/>
    <xf numFmtId="0" fontId="13" fillId="0" borderId="0" xfId="0" applyFont="1"/>
    <xf numFmtId="7" fontId="13" fillId="0" borderId="0" xfId="0" applyNumberFormat="1" applyFont="1" applyAlignment="1">
      <alignment horizontal="right"/>
    </xf>
    <xf numFmtId="9" fontId="13" fillId="0" borderId="0" xfId="0" applyNumberFormat="1" applyFont="1"/>
    <xf numFmtId="0" fontId="11" fillId="6" borderId="0" xfId="0" applyFont="1" applyFill="1"/>
    <xf numFmtId="3" fontId="13" fillId="0" borderId="0" xfId="0" applyNumberFormat="1" applyFont="1" applyAlignment="1">
      <alignment horizontal="right"/>
    </xf>
    <xf numFmtId="0" fontId="11" fillId="6" borderId="0" xfId="0" applyFont="1" applyFill="1" applyAlignment="1"/>
    <xf numFmtId="0" fontId="13" fillId="0" borderId="0" xfId="0" applyFont="1" applyAlignment="1"/>
    <xf numFmtId="0" fontId="11" fillId="6" borderId="0" xfId="0" applyFont="1" applyFill="1" applyAlignment="1">
      <alignment wrapText="1"/>
    </xf>
    <xf numFmtId="0" fontId="13" fillId="0" borderId="0" xfId="0" applyFont="1" applyAlignment="1">
      <alignment wrapText="1"/>
    </xf>
    <xf numFmtId="0" fontId="8" fillId="0" borderId="2" xfId="0" applyFont="1" applyBorder="1" applyAlignment="1">
      <alignment wrapText="1"/>
    </xf>
    <xf numFmtId="0" fontId="9" fillId="0" borderId="2" xfId="0" applyFont="1" applyBorder="1" applyAlignment="1">
      <alignment wrapText="1"/>
    </xf>
    <xf numFmtId="164" fontId="10" fillId="4" borderId="2" xfId="0" applyNumberFormat="1" applyFont="1" applyFill="1" applyBorder="1" applyAlignment="1">
      <alignment wrapText="1"/>
    </xf>
    <xf numFmtId="10" fontId="10" fillId="4" borderId="2" xfId="0" applyNumberFormat="1" applyFont="1" applyFill="1" applyBorder="1" applyAlignment="1">
      <alignment wrapText="1"/>
    </xf>
    <xf numFmtId="164" fontId="11" fillId="0" borderId="2" xfId="0" applyNumberFormat="1" applyFont="1" applyBorder="1" applyAlignment="1">
      <alignment wrapText="1"/>
    </xf>
    <xf numFmtId="165" fontId="11" fillId="0" borderId="2" xfId="0" applyNumberFormat="1" applyFont="1" applyBorder="1" applyAlignment="1">
      <alignment wrapText="1"/>
    </xf>
    <xf numFmtId="7" fontId="13" fillId="0" borderId="0" xfId="0" applyNumberFormat="1" applyFont="1" applyAlignment="1">
      <alignment horizontal="right" wrapText="1"/>
    </xf>
    <xf numFmtId="166" fontId="9" fillId="0" borderId="2" xfId="0" applyNumberFormat="1" applyFont="1" applyBorder="1" applyAlignment="1">
      <alignment wrapText="1"/>
    </xf>
    <xf numFmtId="166" fontId="11" fillId="0" borderId="2" xfId="0" applyNumberFormat="1" applyFont="1" applyBorder="1" applyAlignment="1">
      <alignment wrapText="1"/>
    </xf>
    <xf numFmtId="0" fontId="8" fillId="5" borderId="2" xfId="0" applyFont="1" applyFill="1" applyBorder="1" applyAlignment="1">
      <alignment wrapText="1"/>
    </xf>
    <xf numFmtId="0" fontId="9" fillId="5" borderId="2" xfId="0" applyFont="1" applyFill="1" applyBorder="1" applyAlignment="1">
      <alignment wrapText="1"/>
    </xf>
    <xf numFmtId="164" fontId="11" fillId="5" borderId="2" xfId="0" applyNumberFormat="1" applyFont="1" applyFill="1" applyBorder="1" applyAlignment="1">
      <alignment wrapText="1"/>
    </xf>
    <xf numFmtId="165" fontId="11" fillId="5" borderId="2" xfId="0" applyNumberFormat="1" applyFont="1" applyFill="1" applyBorder="1" applyAlignment="1">
      <alignment wrapText="1"/>
    </xf>
    <xf numFmtId="166" fontId="9" fillId="5" borderId="2" xfId="0" applyNumberFormat="1" applyFont="1" applyFill="1" applyBorder="1" applyAlignment="1">
      <alignment wrapText="1"/>
    </xf>
    <xf numFmtId="166" fontId="11" fillId="5" borderId="2" xfId="0" applyNumberFormat="1" applyFont="1" applyFill="1" applyBorder="1" applyAlignment="1">
      <alignment wrapText="1"/>
    </xf>
    <xf numFmtId="0" fontId="13" fillId="0" borderId="2" xfId="0" applyFont="1" applyBorder="1" applyAlignment="1">
      <alignment wrapText="1"/>
    </xf>
    <xf numFmtId="0" fontId="13" fillId="5" borderId="2" xfId="0" applyFont="1" applyFill="1" applyBorder="1" applyAlignment="1">
      <alignment wrapText="1"/>
    </xf>
    <xf numFmtId="168" fontId="15" fillId="0" borderId="0" xfId="0" applyNumberFormat="1" applyFont="1" applyAlignment="1">
      <alignment horizontal="right" wrapText="1"/>
    </xf>
    <xf numFmtId="165" fontId="15" fillId="0" borderId="2" xfId="0" applyNumberFormat="1" applyFont="1" applyFill="1" applyBorder="1" applyAlignment="1">
      <alignment wrapText="1"/>
    </xf>
    <xf numFmtId="7" fontId="15" fillId="0" borderId="0" xfId="0" applyNumberFormat="1" applyFont="1" applyFill="1" applyAlignment="1">
      <alignment horizontal="right" wrapText="1"/>
    </xf>
    <xf numFmtId="168" fontId="13" fillId="0" borderId="0" xfId="0" applyNumberFormat="1" applyFont="1"/>
    <xf numFmtId="167" fontId="15" fillId="0" borderId="2" xfId="0" applyNumberFormat="1" applyFont="1" applyFill="1" applyBorder="1" applyAlignment="1">
      <alignment wrapText="1"/>
    </xf>
    <xf numFmtId="0" fontId="2" fillId="0" borderId="0" xfId="0" applyFont="1" applyAlignment="1"/>
    <xf numFmtId="0" fontId="0" fillId="0" borderId="0" xfId="0" applyAlignment="1"/>
    <xf numFmtId="0" fontId="1" fillId="0" borderId="0" xfId="0" applyFont="1" applyAlignment="1"/>
    <xf numFmtId="0" fontId="12" fillId="0" borderId="0" xfId="0" applyFont="1" applyAlignment="1"/>
    <xf numFmtId="0" fontId="14" fillId="0" borderId="0" xfId="0" applyFont="1" applyAlignment="1"/>
    <xf numFmtId="168" fontId="15" fillId="0" borderId="0" xfId="0" applyNumberFormat="1" applyFont="1" applyAlignment="1">
      <alignment horizontal="right"/>
    </xf>
    <xf numFmtId="0" fontId="0" fillId="0" borderId="0" xfId="0" applyAlignment="1">
      <alignment wrapText="1"/>
    </xf>
    <xf numFmtId="0" fontId="3" fillId="0" borderId="2" xfId="0" applyFont="1" applyBorder="1" applyAlignment="1">
      <alignment wrapText="1"/>
    </xf>
    <xf numFmtId="0" fontId="4" fillId="0" borderId="2" xfId="0" applyFont="1" applyBorder="1" applyAlignment="1">
      <alignment wrapText="1"/>
    </xf>
    <xf numFmtId="164" fontId="5" fillId="4" borderId="2" xfId="0" applyNumberFormat="1" applyFont="1" applyFill="1" applyBorder="1" applyAlignment="1">
      <alignment wrapText="1"/>
    </xf>
    <xf numFmtId="10" fontId="5" fillId="4" borderId="2" xfId="0" applyNumberFormat="1" applyFont="1" applyFill="1" applyBorder="1" applyAlignment="1">
      <alignment wrapText="1"/>
    </xf>
    <xf numFmtId="166" fontId="4" fillId="0" borderId="2" xfId="0" applyNumberFormat="1" applyFont="1" applyBorder="1" applyAlignment="1">
      <alignment wrapText="1"/>
    </xf>
    <xf numFmtId="0" fontId="0" fillId="0" borderId="2" xfId="0" applyBorder="1" applyAlignment="1">
      <alignment wrapText="1"/>
    </xf>
    <xf numFmtId="0" fontId="3" fillId="5" borderId="2" xfId="0" applyFont="1" applyFill="1" applyBorder="1" applyAlignment="1">
      <alignment wrapText="1"/>
    </xf>
    <xf numFmtId="0" fontId="4" fillId="5" borderId="2" xfId="0" applyFont="1" applyFill="1" applyBorder="1" applyAlignment="1">
      <alignment wrapText="1"/>
    </xf>
    <xf numFmtId="166" fontId="4" fillId="5" borderId="2" xfId="0" applyNumberFormat="1" applyFont="1" applyFill="1" applyBorder="1" applyAlignment="1">
      <alignment wrapText="1"/>
    </xf>
    <xf numFmtId="0" fontId="0" fillId="5" borderId="2" xfId="0" applyFill="1" applyBorder="1" applyAlignment="1">
      <alignment wrapText="1"/>
    </xf>
    <xf numFmtId="164" fontId="6" fillId="0" borderId="2" xfId="0" applyNumberFormat="1" applyFont="1" applyBorder="1" applyAlignment="1">
      <alignment wrapText="1"/>
    </xf>
    <xf numFmtId="165" fontId="6" fillId="0" borderId="2" xfId="0" applyNumberFormat="1" applyFont="1" applyBorder="1" applyAlignment="1">
      <alignment wrapText="1"/>
    </xf>
    <xf numFmtId="164" fontId="6" fillId="5" borderId="2" xfId="0" applyNumberFormat="1" applyFont="1" applyFill="1" applyBorder="1" applyAlignment="1">
      <alignment wrapText="1"/>
    </xf>
    <xf numFmtId="165" fontId="6" fillId="5" borderId="2" xfId="0" applyNumberFormat="1" applyFont="1" applyFill="1" applyBorder="1" applyAlignment="1">
      <alignment wrapText="1"/>
    </xf>
    <xf numFmtId="166" fontId="6" fillId="0" borderId="2" xfId="0" applyNumberFormat="1" applyFont="1" applyBorder="1" applyAlignment="1">
      <alignment wrapText="1"/>
    </xf>
    <xf numFmtId="166" fontId="6" fillId="5" borderId="2" xfId="0" applyNumberFormat="1" applyFont="1" applyFill="1" applyBorder="1" applyAlignment="1">
      <alignment wrapText="1"/>
    </xf>
    <xf numFmtId="0" fontId="16" fillId="0" borderId="2" xfId="0" applyFont="1" applyBorder="1"/>
    <xf numFmtId="7" fontId="15" fillId="0" borderId="0" xfId="0" applyNumberFormat="1" applyFont="1" applyAlignment="1">
      <alignment horizontal="right"/>
    </xf>
    <xf numFmtId="0" fontId="16" fillId="5" borderId="2" xfId="0" applyFont="1" applyFill="1" applyBorder="1"/>
    <xf numFmtId="166" fontId="17" fillId="5" borderId="2" xfId="0" applyNumberFormat="1" applyFont="1" applyFill="1" applyBorder="1"/>
    <xf numFmtId="166" fontId="17" fillId="0" borderId="2" xfId="0" applyNumberFormat="1" applyFont="1" applyBorder="1"/>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1DD15-A375-48E8-BFBB-BC4E7D750CFB}">
  <dimension ref="A1"/>
  <sheetViews>
    <sheetView workbookViewId="0"/>
    <sheetView workbookViewId="1"/>
  </sheetViews>
  <sheetFormatPr defaultRowHeight="15" x14ac:dyDescent="0.25"/>
  <sheetData>
    <row r="1" spans="1:1" x14ac:dyDescent="0.25">
      <c r="A1"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sheetPr>
  <dimension ref="A1:W24"/>
  <sheetViews>
    <sheetView workbookViewId="0">
      <pane xSplit="3" ySplit="4" topLeftCell="D5" activePane="bottomRight" state="frozen"/>
      <selection pane="topRight"/>
      <selection pane="bottomLeft"/>
      <selection pane="bottomRight" activeCell="M4" sqref="M4"/>
    </sheetView>
    <sheetView tabSelected="1" topLeftCell="E1" zoomScale="85" zoomScaleNormal="85" workbookViewId="1">
      <selection activeCell="T4" sqref="T4:W24"/>
    </sheetView>
  </sheetViews>
  <sheetFormatPr defaultRowHeight="15" customHeight="1" x14ac:dyDescent="0.25"/>
  <cols>
    <col min="1" max="1" width="9" style="32" customWidth="1"/>
    <col min="2" max="3" width="11" style="32" customWidth="1"/>
    <col min="4" max="5" width="12" style="32" customWidth="1"/>
    <col min="6" max="6" width="11" style="32" customWidth="1"/>
    <col min="7" max="8" width="12" style="32" customWidth="1"/>
    <col min="9" max="9" width="14" style="32" customWidth="1"/>
    <col min="10" max="10" width="14" style="24" customWidth="1"/>
    <col min="11" max="13" width="11" style="32" customWidth="1"/>
    <col min="14" max="15" width="13" style="32" customWidth="1"/>
    <col min="16" max="18" width="14" style="32" customWidth="1"/>
    <col min="19" max="19" width="12" style="32" customWidth="1"/>
    <col min="20" max="21" width="9.140625" style="24"/>
    <col min="22" max="22" width="14" style="24" customWidth="1"/>
    <col min="23" max="23" width="13.5703125" style="24" customWidth="1"/>
    <col min="24" max="16384" width="9.140625" style="24"/>
  </cols>
  <sheetData>
    <row r="1" spans="1:23" ht="15" customHeight="1" x14ac:dyDescent="0.25">
      <c r="A1" s="58" t="s">
        <v>0</v>
      </c>
      <c r="B1" s="30"/>
      <c r="C1" s="30"/>
      <c r="D1" s="30"/>
      <c r="E1" s="30"/>
      <c r="F1" s="30"/>
    </row>
    <row r="2" spans="1:23" ht="15" customHeight="1" x14ac:dyDescent="0.25">
      <c r="A2" s="59" t="s">
        <v>1</v>
      </c>
      <c r="B2" s="30"/>
      <c r="C2" s="30"/>
      <c r="D2" s="30"/>
    </row>
    <row r="3" spans="1:23" ht="15" customHeight="1" x14ac:dyDescent="0.25">
      <c r="A3" s="31" t="s">
        <v>166</v>
      </c>
      <c r="H3" s="51">
        <f>_xll.SNL.Clients.Office.Excel.Functions.SPG($A$3, "IQ_Total_debt","FQ0",B5)</f>
        <v>8600000</v>
      </c>
      <c r="I3" s="50">
        <f>_xll.SNL.Clients.Office.Excel.Functions.SPG($A$3, "sp_shares_out",$B3)</f>
        <v>718022845</v>
      </c>
      <c r="L3" s="32">
        <f>_xll.SNL.Clients.Office.Excel.Functions.SPG($A$3, "IQ_Common_div_declared", "FQ0", $B3)</f>
        <v>0.48</v>
      </c>
      <c r="T3" s="28" t="e">
        <f>_xll.SNL.Clients.Office.Excel.Functions.SPG($A$3, "iq_ebt_excl", "FQ0", B3)/1000</f>
        <v>#VALUE!</v>
      </c>
    </row>
    <row r="4" spans="1:23" ht="43.5" customHeight="1" x14ac:dyDescent="0.25">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ht="15" customHeight="1" x14ac:dyDescent="0.25">
      <c r="A5" s="33" t="s">
        <v>21</v>
      </c>
      <c r="B5" s="34" t="s">
        <v>22</v>
      </c>
      <c r="C5" s="34" t="s">
        <v>23</v>
      </c>
      <c r="D5" s="35"/>
      <c r="E5" s="36"/>
      <c r="F5" s="37">
        <v>17.45</v>
      </c>
      <c r="G5" s="38">
        <v>7632</v>
      </c>
      <c r="H5" s="51">
        <f>_xll.SNL.Clients.Office.Excel.Functions.SPG($A$3, "IQ_Total_debt","FQ0",B5)</f>
        <v>8600000</v>
      </c>
      <c r="I5" s="50">
        <f>_xll.SNL.Clients.Office.Excel.Functions.SPG($A$3, "sp_shares_out",$B5)</f>
        <v>436853247</v>
      </c>
      <c r="J5" s="22">
        <v>144</v>
      </c>
      <c r="K5" s="39">
        <f>(J5*1000000)/I5</f>
        <v>0.32963014694039805</v>
      </c>
      <c r="L5" s="52">
        <f>_xll.SNL.Clients.Office.Excel.Functions.SPG($A$3, "IQ_Common_div_declared", "FQ0", $B5)</f>
        <v>0.4</v>
      </c>
      <c r="M5" s="40">
        <f>K5/L5</f>
        <v>0.82407536735099507</v>
      </c>
      <c r="N5" s="41">
        <v>2.1999999999999999E-2</v>
      </c>
      <c r="O5" s="41">
        <v>3.3000000000000002E-2</v>
      </c>
      <c r="P5" s="41">
        <v>0.153</v>
      </c>
      <c r="Q5" s="38">
        <v>15628</v>
      </c>
      <c r="R5" s="38">
        <v>15429</v>
      </c>
      <c r="S5" s="40">
        <f>IF(R5&gt;0,R5/Q5,"")</f>
        <v>0.98726644484259019</v>
      </c>
      <c r="T5" s="54">
        <f>_xll.SNL.Clients.Office.Excel.Functions.SPG($A$3, "iq_ebt_excl", "FQ0", B5)/1000</f>
        <v>223</v>
      </c>
      <c r="U5" s="53">
        <f>T5-J5</f>
        <v>79</v>
      </c>
      <c r="V5" s="25">
        <f>T5*1000000/I5</f>
        <v>0.51046890810908863</v>
      </c>
      <c r="W5" s="26">
        <f>V5/L5</f>
        <v>1.2761722702727214</v>
      </c>
    </row>
    <row r="6" spans="1:23" ht="15" customHeight="1" x14ac:dyDescent="0.25">
      <c r="A6" s="42" t="s">
        <v>24</v>
      </c>
      <c r="B6" s="43" t="s">
        <v>25</v>
      </c>
      <c r="C6" s="43" t="s">
        <v>26</v>
      </c>
      <c r="D6" s="35"/>
      <c r="E6" s="36"/>
      <c r="F6" s="44">
        <v>18.16</v>
      </c>
      <c r="G6" s="45">
        <v>8078</v>
      </c>
      <c r="H6" s="51">
        <f>_xll.SNL.Clients.Office.Excel.Functions.SPG($A$3, "IQ_Total_debt","FQ0",B6)</f>
        <v>8104400</v>
      </c>
      <c r="I6" s="50">
        <f>_xll.SNL.Clients.Office.Excel.Functions.SPG($A$3, "sp_shares_out",$B6)</f>
        <v>440944797</v>
      </c>
      <c r="J6" s="23">
        <v>171</v>
      </c>
      <c r="K6" s="39">
        <f>(J6*1000000)/I6</f>
        <v>0.38780364608769835</v>
      </c>
      <c r="L6" s="52">
        <f>_xll.SNL.Clients.Office.Excel.Functions.SPG($A$3, "IQ_Common_div_declared", "FQ0", $B6)</f>
        <v>0.4</v>
      </c>
      <c r="M6" s="46">
        <f t="shared" ref="M6:M24" si="0">K6/L6</f>
        <v>0.96950911521924588</v>
      </c>
      <c r="N6" s="47">
        <v>1.9E-2</v>
      </c>
      <c r="O6" s="47">
        <v>2.9000000000000001E-2</v>
      </c>
      <c r="P6" s="47">
        <v>0.19900000000000001</v>
      </c>
      <c r="Q6" s="45">
        <v>17096</v>
      </c>
      <c r="R6" s="45">
        <v>17136</v>
      </c>
      <c r="S6" s="46">
        <f>IF(R6&gt;0,R6/Q6,"")</f>
        <v>1.0023397285914835</v>
      </c>
      <c r="T6" s="54">
        <f>_xll.SNL.Clients.Office.Excel.Functions.SPG($A$3, "iq_ebt_excl", "FQ0", B6)/1000</f>
        <v>149</v>
      </c>
      <c r="U6" s="53">
        <f>T6-J6</f>
        <v>-22</v>
      </c>
      <c r="V6" s="25">
        <f>T6*1000000/I6</f>
        <v>0.33791077933957342</v>
      </c>
      <c r="W6" s="26">
        <f>V6/L6</f>
        <v>0.84477694834893347</v>
      </c>
    </row>
    <row r="7" spans="1:23" ht="15" customHeight="1" x14ac:dyDescent="0.25">
      <c r="A7" s="33" t="s">
        <v>27</v>
      </c>
      <c r="B7" s="34" t="s">
        <v>28</v>
      </c>
      <c r="C7" s="34" t="s">
        <v>29</v>
      </c>
      <c r="D7" s="35"/>
      <c r="E7" s="36"/>
      <c r="F7" s="37">
        <v>18.52</v>
      </c>
      <c r="G7" s="38">
        <v>8537</v>
      </c>
      <c r="H7" s="51">
        <f>_xll.SNL.Clients.Office.Excel.Functions.SPG($A$3, "IQ_Total_debt","FQ0",B7)</f>
        <v>9405000</v>
      </c>
      <c r="I7" s="50">
        <f>_xll.SNL.Clients.Office.Excel.Functions.SPG($A$3, "sp_shares_out",$B7)</f>
        <v>458365805</v>
      </c>
      <c r="J7" s="22">
        <v>184</v>
      </c>
      <c r="K7" s="39">
        <f>(J7*1000000)/I7</f>
        <v>0.40142610550976854</v>
      </c>
      <c r="L7" s="52">
        <f>_xll.SNL.Clients.Office.Excel.Functions.SPG($A$3, "IQ_Common_div_declared", "FQ0", $B7)</f>
        <v>0.4</v>
      </c>
      <c r="M7" s="40">
        <f t="shared" si="0"/>
        <v>1.0035652637744212</v>
      </c>
      <c r="N7" s="41">
        <v>0.01</v>
      </c>
      <c r="O7" s="41">
        <v>1.7000000000000001E-2</v>
      </c>
      <c r="P7" s="41">
        <v>0.193</v>
      </c>
      <c r="Q7" s="38">
        <v>17627</v>
      </c>
      <c r="R7" s="38">
        <v>17677</v>
      </c>
      <c r="S7" s="40">
        <f>IF(R7&gt;0,R7/Q7,"")</f>
        <v>1.0028365575537528</v>
      </c>
      <c r="T7" s="54">
        <f>_xll.SNL.Clients.Office.Excel.Functions.SPG($A$3, "iq_ebt_excl", "FQ0", B7)/1000</f>
        <v>181</v>
      </c>
      <c r="U7" s="53">
        <f>T7-J7</f>
        <v>-3</v>
      </c>
      <c r="V7" s="25">
        <f>T7*1000000/I7</f>
        <v>0.39488111465906583</v>
      </c>
      <c r="W7" s="26">
        <f>V7/L7</f>
        <v>0.98720278664766459</v>
      </c>
    </row>
    <row r="8" spans="1:23" ht="15" customHeight="1" x14ac:dyDescent="0.25">
      <c r="A8" s="42" t="s">
        <v>30</v>
      </c>
      <c r="B8" s="43" t="s">
        <v>31</v>
      </c>
      <c r="C8" s="43" t="s">
        <v>32</v>
      </c>
      <c r="D8" s="35"/>
      <c r="E8" s="36"/>
      <c r="F8" s="44">
        <v>18.96</v>
      </c>
      <c r="G8" s="45">
        <v>8868</v>
      </c>
      <c r="H8" s="51">
        <f>_xll.SNL.Clients.Office.Excel.Functions.SPG($A$3, "IQ_Total_debt","FQ0",B8)</f>
        <v>10061000</v>
      </c>
      <c r="I8" s="50">
        <f>_xll.SNL.Clients.Office.Excel.Functions.SPG($A$3, "sp_shares_out",$B8)</f>
        <v>460753939</v>
      </c>
      <c r="J8" s="23">
        <v>242</v>
      </c>
      <c r="K8" s="39">
        <f>(J8*1000000)/I8</f>
        <v>0.52522611206585912</v>
      </c>
      <c r="L8" s="52">
        <f>_xll.SNL.Clients.Office.Excel.Functions.SPG($A$3, "IQ_Common_div_declared", "FQ0", $B8)</f>
        <v>0.41</v>
      </c>
      <c r="M8" s="46">
        <f t="shared" si="0"/>
        <v>1.2810392977216076</v>
      </c>
      <c r="N8" s="47">
        <v>5.0000000000000001E-3</v>
      </c>
      <c r="O8" s="47">
        <v>8.0000000000000002E-3</v>
      </c>
      <c r="P8" s="47">
        <v>0.219</v>
      </c>
      <c r="Q8" s="45">
        <v>19810</v>
      </c>
      <c r="R8" s="45">
        <v>20009</v>
      </c>
      <c r="S8" s="46">
        <f>IF(R8&gt;0,R8/Q8,"")</f>
        <v>1.0100454316002019</v>
      </c>
      <c r="T8" s="54">
        <f>_xll.SNL.Clients.Office.Excel.Functions.SPG($A$3, "iq_ebt_excl", "FQ0", B8)/1000</f>
        <v>204</v>
      </c>
      <c r="U8" s="53">
        <f>T8-J8</f>
        <v>-38</v>
      </c>
      <c r="V8" s="25">
        <f>T8*1000000/I8</f>
        <v>0.44275259033650932</v>
      </c>
      <c r="W8" s="26">
        <f>V8/L8</f>
        <v>1.0798843666744131</v>
      </c>
    </row>
    <row r="9" spans="1:23" ht="15" customHeight="1" x14ac:dyDescent="0.25">
      <c r="A9" s="33" t="s">
        <v>33</v>
      </c>
      <c r="B9" s="34" t="s">
        <v>34</v>
      </c>
      <c r="C9" s="34" t="s">
        <v>35</v>
      </c>
      <c r="D9" s="35"/>
      <c r="E9" s="36"/>
      <c r="F9" s="37">
        <v>19.03</v>
      </c>
      <c r="G9" s="38">
        <v>9379</v>
      </c>
      <c r="H9" s="51">
        <f>_xll.SNL.Clients.Office.Excel.Functions.SPG($A$3, "IQ_Total_debt","FQ0",B9)</f>
        <v>11157000</v>
      </c>
      <c r="I9" s="50">
        <f>_xll.SNL.Clients.Office.Excel.Functions.SPG($A$3, "sp_shares_out",$B9)</f>
        <v>488796934</v>
      </c>
      <c r="J9" s="22">
        <v>198</v>
      </c>
      <c r="K9" s="39">
        <f>(J9*1000000)/I9</f>
        <v>0.40507619059656375</v>
      </c>
      <c r="L9" s="52">
        <f>_xll.SNL.Clients.Office.Excel.Functions.SPG($A$3, "IQ_Common_div_declared", "FQ0", $B9)</f>
        <v>0.41</v>
      </c>
      <c r="M9" s="40">
        <f t="shared" si="0"/>
        <v>0.98799070877210671</v>
      </c>
      <c r="N9" s="41">
        <v>6.0000000000000001E-3</v>
      </c>
      <c r="O9" s="41">
        <v>1.2E-2</v>
      </c>
      <c r="P9" s="41">
        <v>0.20300000000000001</v>
      </c>
      <c r="Q9" s="38">
        <v>19308</v>
      </c>
      <c r="R9" s="38">
        <v>19486</v>
      </c>
      <c r="S9" s="40">
        <f>IF(R9&gt;0,R9/Q9,"")</f>
        <v>1.0092189765900146</v>
      </c>
      <c r="T9" s="54">
        <f>_xll.SNL.Clients.Office.Excel.Functions.SPG($A$3, "iq_ebt_excl", "FQ0", B9)/1000</f>
        <v>245</v>
      </c>
      <c r="U9" s="53">
        <f>T9-J9</f>
        <v>47</v>
      </c>
      <c r="V9" s="25">
        <f>T9*1000000/I9</f>
        <v>0.50123063987958649</v>
      </c>
      <c r="W9" s="26">
        <f>V9/L9</f>
        <v>1.2225137558038697</v>
      </c>
    </row>
    <row r="10" spans="1:23" ht="15" customHeight="1" x14ac:dyDescent="0.25">
      <c r="A10" s="42" t="s">
        <v>36</v>
      </c>
      <c r="B10" s="43" t="s">
        <v>37</v>
      </c>
      <c r="C10" s="43" t="s">
        <v>38</v>
      </c>
      <c r="D10" s="35"/>
      <c r="E10" s="36"/>
      <c r="F10" s="44">
        <v>18.809999999999999</v>
      </c>
      <c r="G10" s="45">
        <v>9335</v>
      </c>
      <c r="H10" s="51">
        <f>_xll.SNL.Clients.Office.Excel.Functions.SPG($A$3, "IQ_Total_debt","FQ0",B10)</f>
        <v>10655000</v>
      </c>
      <c r="I10" s="50">
        <f>_xll.SNL.Clients.Office.Excel.Functions.SPG($A$3, "sp_shares_out",$B10)</f>
        <v>494653521</v>
      </c>
      <c r="J10" s="23">
        <v>257</v>
      </c>
      <c r="K10" s="39">
        <f>(J10*1000000)/I10</f>
        <v>0.5195555860604093</v>
      </c>
      <c r="L10" s="52">
        <f>_xll.SNL.Clients.Office.Excel.Functions.SPG($A$3, "IQ_Common_div_declared", "FQ0", $B10)</f>
        <v>0.42</v>
      </c>
      <c r="M10" s="46">
        <f t="shared" si="0"/>
        <v>1.2370371096676411</v>
      </c>
      <c r="N10" s="47">
        <v>9.0000000000000011E-3</v>
      </c>
      <c r="O10" s="47">
        <v>1.6E-2</v>
      </c>
      <c r="P10" s="47">
        <v>0.22800000000000001</v>
      </c>
      <c r="Q10" s="45">
        <v>21112</v>
      </c>
      <c r="R10" s="45">
        <v>21170</v>
      </c>
      <c r="S10" s="46">
        <f>IF(R10&gt;0,R10/Q10,"")</f>
        <v>1.0027472527472527</v>
      </c>
      <c r="T10" s="54">
        <f>_xll.SNL.Clients.Office.Excel.Functions.SPG($A$3, "iq_ebt_excl", "FQ0", B10)/1000</f>
        <v>213</v>
      </c>
      <c r="U10" s="53">
        <f>T10-J10</f>
        <v>-44</v>
      </c>
      <c r="V10" s="25">
        <f>T10*1000000/I10</f>
        <v>0.43060443513956104</v>
      </c>
      <c r="W10" s="26">
        <f>V10/L10</f>
        <v>1.0252486550941931</v>
      </c>
    </row>
    <row r="11" spans="1:23" ht="15" customHeight="1" x14ac:dyDescent="0.25">
      <c r="A11" s="33" t="s">
        <v>39</v>
      </c>
      <c r="B11" s="34" t="s">
        <v>40</v>
      </c>
      <c r="C11" s="34" t="s">
        <v>41</v>
      </c>
      <c r="D11" s="35"/>
      <c r="E11" s="36"/>
      <c r="F11" s="37">
        <v>18.559999999999999</v>
      </c>
      <c r="G11" s="38">
        <v>9436</v>
      </c>
      <c r="H11" s="51">
        <f>_xll.SNL.Clients.Office.Excel.Functions.SPG($A$3, "IQ_Total_debt","FQ0",B11)</f>
        <v>11879000</v>
      </c>
      <c r="I11" s="50">
        <f>_xll.SNL.Clients.Office.Excel.Functions.SPG($A$3, "sp_shares_out",$B11)</f>
        <v>505438392</v>
      </c>
      <c r="J11" s="22">
        <v>288</v>
      </c>
      <c r="K11" s="39">
        <f>(J11*1000000)/I11</f>
        <v>0.56980238256218574</v>
      </c>
      <c r="L11" s="52">
        <f>_xll.SNL.Clients.Office.Excel.Functions.SPG($A$3, "IQ_Common_div_declared", "FQ0", $B11)</f>
        <v>0.42</v>
      </c>
      <c r="M11" s="40">
        <f t="shared" si="0"/>
        <v>1.3566723394337756</v>
      </c>
      <c r="N11" s="41">
        <v>9.0000000000000011E-3</v>
      </c>
      <c r="O11" s="41">
        <v>1.6E-2</v>
      </c>
      <c r="P11" s="41">
        <v>0.22500000000000001</v>
      </c>
      <c r="Q11" s="38">
        <v>21469</v>
      </c>
      <c r="R11" s="38">
        <v>21339</v>
      </c>
      <c r="S11" s="40">
        <f>IF(R11&gt;0,R11/Q11,"")</f>
        <v>0.99394475755740841</v>
      </c>
      <c r="T11" s="54">
        <f>_xll.SNL.Clients.Office.Excel.Functions.SPG($A$3, "iq_ebt_excl", "FQ0", B11)/1000</f>
        <v>296</v>
      </c>
      <c r="U11" s="53">
        <f>T11-J11</f>
        <v>8</v>
      </c>
      <c r="V11" s="25">
        <f>T11*1000000/I11</f>
        <v>0.5856302265222465</v>
      </c>
      <c r="W11" s="26">
        <f>V11/L11</f>
        <v>1.394357682195825</v>
      </c>
    </row>
    <row r="12" spans="1:23" ht="15" customHeight="1" x14ac:dyDescent="0.25">
      <c r="A12" s="42" t="s">
        <v>42</v>
      </c>
      <c r="B12" s="43" t="s">
        <v>43</v>
      </c>
      <c r="C12" s="43" t="s">
        <v>44</v>
      </c>
      <c r="D12" s="35"/>
      <c r="E12" s="36"/>
      <c r="F12" s="44">
        <v>18.399999999999999</v>
      </c>
      <c r="G12" s="45">
        <v>9555</v>
      </c>
      <c r="H12" s="51">
        <f>_xll.SNL.Clients.Office.Excel.Functions.SPG($A$3, "IQ_Total_debt","FQ0",B12)</f>
        <v>11982000</v>
      </c>
      <c r="I12" s="50">
        <f>_xll.SNL.Clients.Office.Excel.Functions.SPG($A$3, "sp_shares_out",$B12)</f>
        <v>517459293</v>
      </c>
      <c r="J12" s="23">
        <v>349</v>
      </c>
      <c r="K12" s="39">
        <f>(J12*1000000)/I12</f>
        <v>0.67444918802530807</v>
      </c>
      <c r="L12" s="52">
        <f>_xll.SNL.Clients.Office.Excel.Functions.SPG($A$3, "IQ_Common_div_declared", "FQ0", $B12)</f>
        <v>0.43</v>
      </c>
      <c r="M12" s="46">
        <f t="shared" si="0"/>
        <v>1.5684864837797863</v>
      </c>
      <c r="N12" s="47">
        <v>1.0999999999999999E-2</v>
      </c>
      <c r="O12" s="47">
        <v>1.7000000000000001E-2</v>
      </c>
      <c r="P12" s="47">
        <v>0.219</v>
      </c>
      <c r="Q12" s="45">
        <v>22043</v>
      </c>
      <c r="R12" s="45">
        <v>21780</v>
      </c>
      <c r="S12" s="46">
        <f>IF(R12&gt;0,R12/Q12,"")</f>
        <v>0.98806877466769494</v>
      </c>
      <c r="T12" s="54">
        <f>_xll.SNL.Clients.Office.Excel.Functions.SPG($A$3, "iq_ebt_excl", "FQ0", B12)/1000</f>
        <v>353</v>
      </c>
      <c r="U12" s="53">
        <f>T12-J12</f>
        <v>4</v>
      </c>
      <c r="V12" s="25">
        <f>T12*1000000/I12</f>
        <v>0.68217926467889334</v>
      </c>
      <c r="W12" s="26">
        <f>V12/L12</f>
        <v>1.5864634062299845</v>
      </c>
    </row>
    <row r="13" spans="1:23" ht="15" customHeight="1" x14ac:dyDescent="0.25">
      <c r="A13" s="33" t="s">
        <v>45</v>
      </c>
      <c r="B13" s="34" t="s">
        <v>46</v>
      </c>
      <c r="C13" s="34" t="s">
        <v>47</v>
      </c>
      <c r="D13" s="35"/>
      <c r="E13" s="36"/>
      <c r="F13" s="37">
        <v>18.45</v>
      </c>
      <c r="G13" s="38">
        <v>10049</v>
      </c>
      <c r="H13" s="51">
        <f>_xll.SNL.Clients.Office.Excel.Functions.SPG($A$3, "IQ_Total_debt","FQ0",B13)</f>
        <v>12377000</v>
      </c>
      <c r="I13" s="50">
        <f>_xll.SNL.Clients.Office.Excel.Functions.SPG($A$3, "sp_shares_out",$B13)</f>
        <v>544581080</v>
      </c>
      <c r="J13" s="22">
        <v>318</v>
      </c>
      <c r="K13" s="39">
        <f>(J13*1000000)/I13</f>
        <v>0.58393508639705216</v>
      </c>
      <c r="L13" s="52">
        <f>_xll.SNL.Clients.Office.Excel.Functions.SPG($A$3, "IQ_Common_div_declared", "FQ0", $B13)</f>
        <v>0.48</v>
      </c>
      <c r="M13" s="40">
        <f t="shared" si="0"/>
        <v>1.2165314299938588</v>
      </c>
      <c r="N13" s="41">
        <v>1.2999999999999999E-2</v>
      </c>
      <c r="O13" s="41">
        <v>2.3E-2</v>
      </c>
      <c r="P13" s="48"/>
      <c r="Q13" s="38">
        <v>21430</v>
      </c>
      <c r="R13" s="38">
        <v>21148</v>
      </c>
      <c r="S13" s="40">
        <f>IF(R13&gt;0,R13/Q13,"")</f>
        <v>0.98684087727484837</v>
      </c>
      <c r="T13" s="54">
        <f>_xll.SNL.Clients.Office.Excel.Functions.SPG($A$3, "iq_ebt_excl", "FQ0", B13)/1000</f>
        <v>330</v>
      </c>
      <c r="U13" s="53">
        <f>T13-J13</f>
        <v>12</v>
      </c>
      <c r="V13" s="25">
        <f>T13*1000000/I13</f>
        <v>0.60597037267618625</v>
      </c>
      <c r="W13" s="26">
        <f>V13/L13</f>
        <v>1.2624382764087214</v>
      </c>
    </row>
    <row r="14" spans="1:23" ht="15" customHeight="1" x14ac:dyDescent="0.25">
      <c r="A14" s="42" t="s">
        <v>48</v>
      </c>
      <c r="B14" s="43" t="s">
        <v>49</v>
      </c>
      <c r="C14" s="43" t="s">
        <v>50</v>
      </c>
      <c r="D14" s="35"/>
      <c r="E14" s="36"/>
      <c r="F14" s="44">
        <v>18.579999999999998</v>
      </c>
      <c r="G14" s="45">
        <v>10354</v>
      </c>
      <c r="H14" s="51">
        <f>_xll.SNL.Clients.Office.Excel.Functions.SPG($A$3, "IQ_Total_debt","FQ0",B14)</f>
        <v>11322000</v>
      </c>
      <c r="I14" s="50">
        <f>_xll.SNL.Clients.Office.Excel.Functions.SPG($A$3, "sp_shares_out",$B14)</f>
        <v>544581080</v>
      </c>
      <c r="J14" s="23">
        <v>314</v>
      </c>
      <c r="K14" s="39">
        <f>(J14*1000000)/I14</f>
        <v>0.5765899909706742</v>
      </c>
      <c r="L14" s="52">
        <f>_xll.SNL.Clients.Office.Excel.Functions.SPG($A$3, "IQ_Common_div_declared", "FQ0", $B14)</f>
        <v>0.48</v>
      </c>
      <c r="M14" s="46">
        <f t="shared" si="0"/>
        <v>1.2012291478555712</v>
      </c>
      <c r="N14" s="47">
        <v>1.0999999999999999E-2</v>
      </c>
      <c r="O14" s="47">
        <v>2.1000000000000001E-2</v>
      </c>
      <c r="P14" s="49"/>
      <c r="Q14" s="45">
        <v>21686</v>
      </c>
      <c r="R14" s="45">
        <v>21496</v>
      </c>
      <c r="S14" s="46">
        <f>IF(R14&gt;0,R14/Q14,"")</f>
        <v>0.99123858710688928</v>
      </c>
      <c r="T14" s="54">
        <f>_xll.SNL.Clients.Office.Excel.Functions.SPG($A$3, "iq_ebt_excl", "FQ0", B14)/1000</f>
        <v>315</v>
      </c>
      <c r="U14" s="53">
        <f>T14-J14</f>
        <v>1</v>
      </c>
      <c r="V14" s="25">
        <f>T14*1000000/I14</f>
        <v>0.57842626482726867</v>
      </c>
      <c r="W14" s="26">
        <f>V14/L14</f>
        <v>1.205054718390143</v>
      </c>
    </row>
    <row r="15" spans="1:23" ht="15" customHeight="1" x14ac:dyDescent="0.25">
      <c r="A15" s="33" t="s">
        <v>51</v>
      </c>
      <c r="B15" s="34" t="s">
        <v>52</v>
      </c>
      <c r="C15" s="34" t="s">
        <v>53</v>
      </c>
      <c r="D15" s="35"/>
      <c r="E15" s="36"/>
      <c r="F15" s="37">
        <v>18.989999999999998</v>
      </c>
      <c r="G15" s="38">
        <v>10815</v>
      </c>
      <c r="H15" s="51">
        <f>_xll.SNL.Clients.Office.Excel.Functions.SPG($A$3, "IQ_Total_debt","FQ0",B15)</f>
        <v>11471000</v>
      </c>
      <c r="I15" s="50">
        <f>_xll.SNL.Clients.Office.Excel.Functions.SPG($A$3, "sp_shares_out",$B15)</f>
        <v>557378846</v>
      </c>
      <c r="J15" s="22">
        <v>289</v>
      </c>
      <c r="K15" s="39">
        <f>(J15*1000000)/I15</f>
        <v>0.51849832851388833</v>
      </c>
      <c r="L15" s="52">
        <f>_xll.SNL.Clients.Office.Excel.Functions.SPG($A$3, "IQ_Common_div_declared", "FQ0", $B15)</f>
        <v>0.48</v>
      </c>
      <c r="M15" s="40">
        <f t="shared" si="0"/>
        <v>1.0802048510706008</v>
      </c>
      <c r="N15" s="41">
        <v>6.0000000000000001E-3</v>
      </c>
      <c r="O15" s="41">
        <v>1.2E-2</v>
      </c>
      <c r="P15" s="48"/>
      <c r="Q15" s="38">
        <v>21864</v>
      </c>
      <c r="R15" s="38">
        <v>21929</v>
      </c>
      <c r="S15" s="40">
        <f>IF(R15&gt;0,R15/Q15,"")</f>
        <v>1.0029729235272595</v>
      </c>
      <c r="T15" s="54">
        <f>_xll.SNL.Clients.Office.Excel.Functions.SPG($A$3, "iq_ebt_excl", "FQ0", B15)/1000</f>
        <v>308</v>
      </c>
      <c r="U15" s="53">
        <f>T15-J15</f>
        <v>19</v>
      </c>
      <c r="V15" s="25">
        <f>T15*1000000/I15</f>
        <v>0.55258645391791561</v>
      </c>
      <c r="W15" s="26">
        <f>V15/L15</f>
        <v>1.1512217789956576</v>
      </c>
    </row>
    <row r="16" spans="1:23" ht="15" customHeight="1" x14ac:dyDescent="0.25">
      <c r="A16" s="42" t="s">
        <v>54</v>
      </c>
      <c r="B16" s="43" t="s">
        <v>55</v>
      </c>
      <c r="C16" s="43" t="s">
        <v>56</v>
      </c>
      <c r="D16" s="35"/>
      <c r="E16" s="36"/>
      <c r="F16" s="44">
        <v>19.239999999999998</v>
      </c>
      <c r="G16" s="45">
        <v>11201</v>
      </c>
      <c r="H16" s="51">
        <f>_xll.SNL.Clients.Office.Excel.Functions.SPG($A$3, "IQ_Total_debt","FQ0",B16)</f>
        <v>11601000</v>
      </c>
      <c r="I16" s="50">
        <f>_xll.SNL.Clients.Office.Excel.Functions.SPG($A$3, "sp_shares_out",$B16)</f>
        <v>569436640</v>
      </c>
      <c r="J16" s="23">
        <v>345</v>
      </c>
      <c r="K16" s="39">
        <f>(J16*1000000)/I16</f>
        <v>0.60586196209643273</v>
      </c>
      <c r="L16" s="52">
        <f>_xll.SNL.Clients.Office.Excel.Functions.SPG($A$3, "IQ_Common_div_declared", "FQ0", $B16)</f>
        <v>0.48</v>
      </c>
      <c r="M16" s="46">
        <f t="shared" si="0"/>
        <v>1.2622124210342349</v>
      </c>
      <c r="N16" s="47">
        <v>6.0000000000000001E-3</v>
      </c>
      <c r="O16" s="47">
        <v>1.2999999999999999E-2</v>
      </c>
      <c r="P16" s="49"/>
      <c r="Q16" s="45">
        <v>22668</v>
      </c>
      <c r="R16" s="45">
        <v>22874</v>
      </c>
      <c r="S16" s="46">
        <f>IF(R16&gt;0,R16/Q16,"")</f>
        <v>1.0090877007234869</v>
      </c>
      <c r="T16" s="54">
        <f>_xll.SNL.Clients.Office.Excel.Functions.SPG($A$3, "iq_ebt_excl", "FQ0", B16)/1000</f>
        <v>315</v>
      </c>
      <c r="U16" s="53">
        <f>T16-J16</f>
        <v>-30</v>
      </c>
      <c r="V16" s="25">
        <f>T16*1000000/I16</f>
        <v>0.55317831321848199</v>
      </c>
      <c r="W16" s="26">
        <f>V16/L16</f>
        <v>1.1524548192051709</v>
      </c>
    </row>
    <row r="17" spans="1:23" ht="15" customHeight="1" x14ac:dyDescent="0.25">
      <c r="A17" s="33" t="s">
        <v>57</v>
      </c>
      <c r="B17" s="34" t="s">
        <v>58</v>
      </c>
      <c r="C17" s="34" t="s">
        <v>59</v>
      </c>
      <c r="D17" s="35"/>
      <c r="E17" s="36"/>
      <c r="F17" s="37">
        <v>19.53</v>
      </c>
      <c r="G17" s="38">
        <v>11872</v>
      </c>
      <c r="H17" s="51">
        <f>_xll.SNL.Clients.Office.Excel.Functions.SPG($A$3, "IQ_Total_debt","FQ0",B17)</f>
        <v>11950000</v>
      </c>
      <c r="I17" s="50">
        <f>_xll.SNL.Clients.Office.Excel.Functions.SPG($A$3, "sp_shares_out",$B17)</f>
        <v>606777220</v>
      </c>
      <c r="J17" s="22">
        <v>325</v>
      </c>
      <c r="K17" s="39">
        <f>(J17*1000000)/I17</f>
        <v>0.5356166798746993</v>
      </c>
      <c r="L17" s="52">
        <f>_xll.SNL.Clients.Office.Excel.Functions.SPG($A$3, "IQ_Common_div_declared", "FQ0", $B17)</f>
        <v>0.48</v>
      </c>
      <c r="M17" s="40">
        <f t="shared" si="0"/>
        <v>1.1158680830722902</v>
      </c>
      <c r="N17" s="41">
        <v>6.9999999999999993E-3</v>
      </c>
      <c r="O17" s="41">
        <v>1.7000000000000001E-2</v>
      </c>
      <c r="P17" s="48"/>
      <c r="Q17" s="38">
        <v>22805</v>
      </c>
      <c r="R17" s="38">
        <v>23124</v>
      </c>
      <c r="S17" s="40">
        <f>IF(R17&gt;0,R17/Q17,"")</f>
        <v>1.0139881604911203</v>
      </c>
      <c r="T17" s="54">
        <f>_xll.SNL.Clients.Office.Excel.Functions.SPG($A$3, "iq_ebt_excl", "FQ0", B17)/1000</f>
        <v>330</v>
      </c>
      <c r="U17" s="53">
        <f>T17-J17</f>
        <v>5</v>
      </c>
      <c r="V17" s="25">
        <f>T17*1000000/I17</f>
        <v>0.54385693648815625</v>
      </c>
      <c r="W17" s="26">
        <f>V17/L17</f>
        <v>1.1330352843503255</v>
      </c>
    </row>
    <row r="18" spans="1:23" ht="15" customHeight="1" x14ac:dyDescent="0.25">
      <c r="A18" s="42" t="s">
        <v>60</v>
      </c>
      <c r="B18" s="43" t="s">
        <v>61</v>
      </c>
      <c r="C18" s="43" t="s">
        <v>62</v>
      </c>
      <c r="D18" s="35"/>
      <c r="E18" s="36"/>
      <c r="F18" s="44">
        <v>19.61</v>
      </c>
      <c r="G18" s="45">
        <v>12364</v>
      </c>
      <c r="H18" s="51">
        <f>_xll.SNL.Clients.Office.Excel.Functions.SPG($A$3, "IQ_Total_debt","FQ0",B18)</f>
        <v>11777000</v>
      </c>
      <c r="I18" s="50">
        <f>_xll.SNL.Clients.Office.Excel.Functions.SPG($A$3, "sp_shares_out",$B18)</f>
        <v>614518362</v>
      </c>
      <c r="J18" s="23">
        <v>358</v>
      </c>
      <c r="K18" s="39">
        <f>(J18*1000000)/I18</f>
        <v>0.58257006159239877</v>
      </c>
      <c r="L18" s="52">
        <f>_xll.SNL.Clients.Office.Excel.Functions.SPG($A$3, "IQ_Common_div_declared", "FQ0", $B18)</f>
        <v>0.48</v>
      </c>
      <c r="M18" s="46">
        <f t="shared" si="0"/>
        <v>1.2136876283174975</v>
      </c>
      <c r="N18" s="47">
        <v>6.9999999999999993E-3</v>
      </c>
      <c r="O18" s="47">
        <v>1.4999999999999999E-2</v>
      </c>
      <c r="P18" s="49"/>
      <c r="Q18" s="45">
        <v>24707</v>
      </c>
      <c r="R18" s="45">
        <v>24973</v>
      </c>
      <c r="S18" s="46">
        <f>IF(R18&gt;0,R18/Q18,"")</f>
        <v>1.0107661796252074</v>
      </c>
      <c r="T18" s="54">
        <f>_xll.SNL.Clients.Office.Excel.Functions.SPG($A$3, "iq_ebt_excl", "FQ0", B18)/1000</f>
        <v>348</v>
      </c>
      <c r="U18" s="53">
        <f>T18-J18</f>
        <v>-10</v>
      </c>
      <c r="V18" s="25">
        <f>T18*1000000/I18</f>
        <v>0.56629715484400778</v>
      </c>
      <c r="W18" s="26">
        <f>V18/L18</f>
        <v>1.1797857392583495</v>
      </c>
    </row>
    <row r="19" spans="1:23" ht="15" customHeight="1" x14ac:dyDescent="0.25">
      <c r="A19" s="33" t="s">
        <v>63</v>
      </c>
      <c r="B19" s="34" t="s">
        <v>64</v>
      </c>
      <c r="C19" s="34" t="s">
        <v>65</v>
      </c>
      <c r="D19" s="35"/>
      <c r="E19" s="36"/>
      <c r="F19" s="37">
        <v>19.77</v>
      </c>
      <c r="G19" s="38">
        <v>12773</v>
      </c>
      <c r="H19" s="51">
        <f>_xll.SNL.Clients.Office.Excel.Functions.SPG($A$3, "IQ_Total_debt","FQ0",B19)</f>
        <v>13047000</v>
      </c>
      <c r="I19" s="50">
        <f>_xll.SNL.Clients.Office.Excel.Functions.SPG($A$3, "sp_shares_out",$B19)</f>
        <v>630386591</v>
      </c>
      <c r="J19" s="22">
        <v>361</v>
      </c>
      <c r="K19" s="39">
        <f>(J19*1000000)/I19</f>
        <v>0.57266446519323255</v>
      </c>
      <c r="L19" s="52">
        <f>_xll.SNL.Clients.Office.Excel.Functions.SPG($A$3, "IQ_Common_div_declared", "FQ0", $B19)</f>
        <v>0.48</v>
      </c>
      <c r="M19" s="40">
        <f t="shared" si="0"/>
        <v>1.1930509691525679</v>
      </c>
      <c r="N19" s="41">
        <v>6.0000000000000001E-3</v>
      </c>
      <c r="O19" s="41">
        <v>1.2999999999999999E-2</v>
      </c>
      <c r="P19" s="48"/>
      <c r="Q19" s="38">
        <v>25573</v>
      </c>
      <c r="R19" s="38">
        <v>25918</v>
      </c>
      <c r="S19" s="40">
        <f>IF(R19&gt;0,R19/Q19,"")</f>
        <v>1.0134907910687052</v>
      </c>
      <c r="T19" s="54">
        <f>_xll.SNL.Clients.Office.Excel.Functions.SPG($A$3, "iq_ebt_excl", "FQ0", B19)/1000</f>
        <v>403</v>
      </c>
      <c r="U19" s="53">
        <f>T19-J19</f>
        <v>42</v>
      </c>
      <c r="V19" s="25">
        <f>T19*1000000/I19</f>
        <v>0.63929024784729283</v>
      </c>
      <c r="W19" s="26">
        <f>V19/L19</f>
        <v>1.3318546830151934</v>
      </c>
    </row>
    <row r="20" spans="1:23" ht="15" customHeight="1" x14ac:dyDescent="0.25">
      <c r="A20" s="42" t="s">
        <v>66</v>
      </c>
      <c r="B20" s="43" t="s">
        <v>67</v>
      </c>
      <c r="C20" s="43" t="s">
        <v>68</v>
      </c>
      <c r="D20" s="35"/>
      <c r="E20" s="36"/>
      <c r="F20" s="44">
        <v>19.89</v>
      </c>
      <c r="G20" s="45">
        <v>13355</v>
      </c>
      <c r="H20" s="51">
        <f>_xll.SNL.Clients.Office.Excel.Functions.SPG($A$3, "IQ_Total_debt","FQ0",B20)</f>
        <v>13572000</v>
      </c>
      <c r="I20" s="50">
        <f>_xll.SNL.Clients.Office.Excel.Functions.SPG($A$3, "sp_shares_out",$B20)</f>
        <v>646076139</v>
      </c>
      <c r="J20" s="23">
        <v>359</v>
      </c>
      <c r="K20" s="39">
        <f>(J20*1000000)/I20</f>
        <v>0.55566206261023976</v>
      </c>
      <c r="L20" s="52">
        <f>_xll.SNL.Clients.Office.Excel.Functions.SPG($A$3, "IQ_Common_div_declared", "FQ0", $B20)</f>
        <v>0.48</v>
      </c>
      <c r="M20" s="46">
        <f t="shared" si="0"/>
        <v>1.1576292971046662</v>
      </c>
      <c r="N20" s="47">
        <v>0.01</v>
      </c>
      <c r="O20" s="47">
        <v>1.7000000000000001E-2</v>
      </c>
      <c r="P20" s="49"/>
      <c r="Q20" s="45">
        <v>26374</v>
      </c>
      <c r="R20" s="45">
        <v>26720</v>
      </c>
      <c r="S20" s="46">
        <f>IF(R20&gt;0,R20/Q20,"")</f>
        <v>1.0131189808144385</v>
      </c>
      <c r="T20" s="54">
        <f>_xll.SNL.Clients.Office.Excel.Functions.SPG($A$3, "iq_ebt_excl", "FQ0", B20)/1000</f>
        <v>351</v>
      </c>
      <c r="U20" s="53">
        <f>T20-J20</f>
        <v>-8</v>
      </c>
      <c r="V20" s="25">
        <f>T20*1000000/I20</f>
        <v>0.54327962110360495</v>
      </c>
      <c r="W20" s="26">
        <f>V20/L20</f>
        <v>1.1318325439658437</v>
      </c>
    </row>
    <row r="21" spans="1:23" ht="15" customHeight="1" x14ac:dyDescent="0.25">
      <c r="A21" s="33" t="s">
        <v>69</v>
      </c>
      <c r="B21" s="34" t="s">
        <v>70</v>
      </c>
      <c r="C21" s="34" t="s">
        <v>71</v>
      </c>
      <c r="D21" s="35"/>
      <c r="E21" s="36"/>
      <c r="F21" s="37">
        <v>19.82</v>
      </c>
      <c r="G21" s="38">
        <v>13672</v>
      </c>
      <c r="H21" s="51">
        <f>_xll.SNL.Clients.Office.Excel.Functions.SPG($A$3, "IQ_Total_debt","FQ0",B21)</f>
        <v>13788000</v>
      </c>
      <c r="I21" s="50">
        <f>_xll.SNL.Clients.Office.Excel.Functions.SPG($A$3, "sp_shares_out",$B21)</f>
        <v>681588467</v>
      </c>
      <c r="J21" s="22">
        <v>365</v>
      </c>
      <c r="K21" s="39">
        <f>(J21*1000000)/I21</f>
        <v>0.53551375598613227</v>
      </c>
      <c r="L21" s="52">
        <f>_xll.SNL.Clients.Office.Excel.Functions.SPG($A$3, "IQ_Common_div_declared", "FQ0", $B21)</f>
        <v>0.48</v>
      </c>
      <c r="M21" s="40">
        <f t="shared" si="0"/>
        <v>1.1156536583044423</v>
      </c>
      <c r="N21" s="41">
        <v>9.0000000000000011E-3</v>
      </c>
      <c r="O21" s="41">
        <v>1.4999999999999999E-2</v>
      </c>
      <c r="P21" s="48"/>
      <c r="Q21" s="38">
        <v>26778</v>
      </c>
      <c r="R21" s="38">
        <v>27130</v>
      </c>
      <c r="S21" s="40">
        <f>IF(R21&gt;0,R21/Q21,"")</f>
        <v>1.0131451191276422</v>
      </c>
      <c r="T21" s="54">
        <f>_xll.SNL.Clients.Office.Excel.Functions.SPG($A$3, "iq_ebt_excl", "FQ0", B21)/1000</f>
        <v>429</v>
      </c>
      <c r="U21" s="53">
        <f>T21-J21</f>
        <v>64</v>
      </c>
      <c r="V21" s="25">
        <f>T21*1000000/I21</f>
        <v>0.62941205840561854</v>
      </c>
      <c r="W21" s="26">
        <f>V21/L21</f>
        <v>1.311275121678372</v>
      </c>
    </row>
    <row r="22" spans="1:23" ht="15" customHeight="1" x14ac:dyDescent="0.25">
      <c r="A22" s="42" t="s">
        <v>72</v>
      </c>
      <c r="B22" s="43" t="s">
        <v>73</v>
      </c>
      <c r="C22" s="43" t="s">
        <v>74</v>
      </c>
      <c r="D22" s="35"/>
      <c r="E22" s="36"/>
      <c r="F22" s="44">
        <v>19.899999999999999</v>
      </c>
      <c r="G22" s="45">
        <v>14034</v>
      </c>
      <c r="H22" s="51">
        <f>_xll.SNL.Clients.Office.Excel.Functions.SPG($A$3, "IQ_Total_debt","FQ0",B22)</f>
        <v>13954000</v>
      </c>
      <c r="I22" s="50">
        <f>_xll.SNL.Clients.Office.Excel.Functions.SPG($A$3, "sp_shares_out",$B22)</f>
        <v>694181754</v>
      </c>
      <c r="J22" s="23">
        <v>342</v>
      </c>
      <c r="K22" s="39">
        <f>(J22*1000000)/I22</f>
        <v>0.49266636299403516</v>
      </c>
      <c r="L22" s="52">
        <f>_xll.SNL.Clients.Office.Excel.Functions.SPG($A$3, "IQ_Common_div_declared", "FQ0", $B22)</f>
        <v>0.48</v>
      </c>
      <c r="M22" s="46">
        <f t="shared" si="0"/>
        <v>1.0263882562375732</v>
      </c>
      <c r="N22" s="47">
        <v>1.2E-2</v>
      </c>
      <c r="O22" s="47">
        <v>0.02</v>
      </c>
      <c r="P22" s="49"/>
      <c r="Q22" s="45">
        <v>27581</v>
      </c>
      <c r="R22" s="45">
        <v>27886</v>
      </c>
      <c r="S22" s="46">
        <f>IF(R22&gt;0,R22/Q22,"")</f>
        <v>1.0110583372611581</v>
      </c>
      <c r="T22" s="54">
        <f>_xll.SNL.Clients.Office.Excel.Functions.SPG($A$3, "iq_ebt_excl", "FQ0", B22)/1000</f>
        <v>359</v>
      </c>
      <c r="U22" s="53">
        <f>T22-J22</f>
        <v>17</v>
      </c>
      <c r="V22" s="25">
        <f>T22*1000000/I22</f>
        <v>0.51715562665163339</v>
      </c>
      <c r="W22" s="26">
        <f>V22/L22</f>
        <v>1.0774075555242362</v>
      </c>
    </row>
    <row r="23" spans="1:23" ht="15" customHeight="1" x14ac:dyDescent="0.25">
      <c r="A23" s="33" t="s">
        <v>75</v>
      </c>
      <c r="B23" s="34" t="s">
        <v>76</v>
      </c>
      <c r="C23" s="34" t="s">
        <v>77</v>
      </c>
      <c r="D23" s="35"/>
      <c r="E23" s="36"/>
      <c r="F23" s="37">
        <v>20.010000000000002</v>
      </c>
      <c r="G23" s="38">
        <v>14322</v>
      </c>
      <c r="H23" s="51">
        <f>_xll.SNL.Clients.Office.Excel.Functions.SPG($A$3, "IQ_Total_debt","FQ0",B23)</f>
        <v>14134000</v>
      </c>
      <c r="I23" s="50">
        <f>_xll.SNL.Clients.Office.Excel.Functions.SPG($A$3, "sp_shares_out",$B23)</f>
        <v>705367424</v>
      </c>
      <c r="J23" s="22">
        <v>338</v>
      </c>
      <c r="K23" s="39">
        <f>(J23*1000000)/I23</f>
        <v>0.47918288894498196</v>
      </c>
      <c r="L23" s="52">
        <f>_xll.SNL.Clients.Office.Excel.Functions.SPG($A$3, "IQ_Common_div_declared", "FQ0", $B23)</f>
        <v>0.48</v>
      </c>
      <c r="M23" s="40">
        <f t="shared" si="0"/>
        <v>0.99829768530204577</v>
      </c>
      <c r="N23" s="41">
        <v>0.01</v>
      </c>
      <c r="O23" s="41">
        <v>1.7999999999999999E-2</v>
      </c>
      <c r="P23" s="48"/>
      <c r="Q23" s="38">
        <v>28567</v>
      </c>
      <c r="R23" s="38">
        <v>28693</v>
      </c>
      <c r="S23" s="40">
        <f>IF(R23&gt;0,R23/Q23,"")</f>
        <v>1.0044106836559668</v>
      </c>
      <c r="T23" s="54">
        <f>_xll.SNL.Clients.Office.Excel.Functions.SPG($A$3, "iq_ebt_excl", "FQ0", B23)/1000</f>
        <v>301</v>
      </c>
      <c r="U23" s="53">
        <f>T23-J23</f>
        <v>-37</v>
      </c>
      <c r="V23" s="25">
        <f>T23*1000000/I23</f>
        <v>0.42672795731490998</v>
      </c>
      <c r="W23" s="26">
        <f>V23/L23</f>
        <v>0.8890165777393958</v>
      </c>
    </row>
    <row r="24" spans="1:23" ht="15" customHeight="1" x14ac:dyDescent="0.25">
      <c r="A24" s="42" t="s">
        <v>78</v>
      </c>
      <c r="B24" s="43" t="s">
        <v>79</v>
      </c>
      <c r="C24" s="43" t="s">
        <v>80</v>
      </c>
      <c r="D24" s="35"/>
      <c r="E24" s="36"/>
      <c r="F24" s="44">
        <v>19.940000000000001</v>
      </c>
      <c r="G24" s="45">
        <v>14318</v>
      </c>
      <c r="H24" s="51">
        <f>_xll.SNL.Clients.Office.Excel.Functions.SPG($A$3, "IQ_Total_debt","FQ0",B24)</f>
        <v>15633000</v>
      </c>
      <c r="I24" s="50">
        <f>_xll.SNL.Clients.Office.Excel.Functions.SPG($A$3, "sp_shares_out",$B24)</f>
        <v>715726600</v>
      </c>
      <c r="J24" s="23">
        <v>370</v>
      </c>
      <c r="K24" s="39">
        <f>(J24*1000000)/I24</f>
        <v>0.51695717331170865</v>
      </c>
      <c r="L24" s="52">
        <f>_xll.SNL.Clients.Office.Excel.Functions.SPG($A$3, "IQ_Common_div_declared", "FQ0", $B24)</f>
        <v>0.48</v>
      </c>
      <c r="M24" s="46">
        <f t="shared" si="0"/>
        <v>1.0769941110660597</v>
      </c>
      <c r="N24" s="47">
        <v>1.2E-2</v>
      </c>
      <c r="O24" s="47">
        <v>1.7999999999999999E-2</v>
      </c>
      <c r="P24" s="49"/>
      <c r="Q24" s="45">
        <v>29250</v>
      </c>
      <c r="R24" s="45">
        <v>29485</v>
      </c>
      <c r="S24" s="46">
        <f>IF(R24&gt;0,R24/Q24,"")</f>
        <v>1.0080341880341881</v>
      </c>
      <c r="T24" s="54">
        <f>_xll.SNL.Clients.Office.Excel.Functions.SPG($A$3, "iq_ebt_excl", "FQ0", B24)/1000</f>
        <v>366</v>
      </c>
      <c r="U24" s="53">
        <f>T24-J24</f>
        <v>-4</v>
      </c>
      <c r="V24" s="25">
        <f>T24*1000000/I24</f>
        <v>0.5113684471137443</v>
      </c>
      <c r="W24" s="26">
        <f>V24/L24</f>
        <v>1.0653509314869674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9669"/>
  </sheetPr>
  <dimension ref="A1:W24"/>
  <sheetViews>
    <sheetView workbookViewId="0">
      <pane xSplit="3" ySplit="4" topLeftCell="D5" activePane="bottomRight" state="frozen"/>
      <selection pane="topRight"/>
      <selection pane="bottomLeft"/>
      <selection pane="bottomRight" activeCell="M4" sqref="M4"/>
    </sheetView>
    <sheetView workbookViewId="1">
      <selection sqref="A1:S1"/>
    </sheetView>
  </sheetViews>
  <sheetFormatPr defaultRowHeight="15" customHeight="1"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3" ht="15" customHeight="1" x14ac:dyDescent="0.25">
      <c r="A1" s="57" t="s">
        <v>81</v>
      </c>
      <c r="B1" s="56"/>
      <c r="C1" s="56"/>
      <c r="D1" s="56"/>
      <c r="E1" s="56"/>
      <c r="F1" s="56"/>
      <c r="G1" s="56"/>
      <c r="H1" s="56"/>
      <c r="I1" s="56"/>
      <c r="N1" s="56"/>
      <c r="O1" s="56"/>
      <c r="P1" s="56"/>
      <c r="Q1" s="56"/>
      <c r="R1" s="56"/>
      <c r="S1" s="56"/>
    </row>
    <row r="2" spans="1:23" ht="15" customHeight="1" x14ac:dyDescent="0.25">
      <c r="A2" s="55" t="s">
        <v>1</v>
      </c>
      <c r="B2" s="56"/>
      <c r="C2" s="56"/>
      <c r="D2" s="56"/>
      <c r="E2" s="56"/>
      <c r="F2" s="56"/>
      <c r="G2" s="56"/>
      <c r="H2" s="56"/>
      <c r="I2" s="56"/>
      <c r="N2" s="56"/>
      <c r="O2" s="56"/>
      <c r="P2" s="56"/>
      <c r="Q2" s="56"/>
      <c r="R2" s="56"/>
      <c r="S2" s="56"/>
    </row>
    <row r="3" spans="1:23" ht="15" customHeight="1" x14ac:dyDescent="0.25">
      <c r="A3" s="27" t="s">
        <v>167</v>
      </c>
    </row>
    <row r="4" spans="1:23" ht="43.5" customHeight="1" thickBot="1" x14ac:dyDescent="0.3">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ht="15" customHeight="1" x14ac:dyDescent="0.25">
      <c r="A5" s="1" t="s">
        <v>21</v>
      </c>
      <c r="B5" s="2" t="s">
        <v>22</v>
      </c>
      <c r="C5" s="2" t="s">
        <v>82</v>
      </c>
      <c r="D5" s="3"/>
      <c r="E5" s="4"/>
      <c r="F5" s="11">
        <v>25.56</v>
      </c>
      <c r="G5" s="12">
        <v>3325.703</v>
      </c>
      <c r="H5" s="51">
        <f>_xll.SNL.Clients.Office.Excel.Functions.SPG($A$3, "IQ_Total_debt","FQ0",B5)</f>
        <v>2500393</v>
      </c>
      <c r="I5" s="50" t="str">
        <f>_xll.SNL.Clients.Office.Excel.Functions.SPG($A$3, "sp_shares_out",$B5)</f>
        <v>NA</v>
      </c>
      <c r="J5" s="17">
        <v>75.637</v>
      </c>
      <c r="K5" s="25" t="e">
        <f>(J5*1000000)/I5</f>
        <v>#VALUE!</v>
      </c>
      <c r="L5" s="79">
        <f>_xll.SNL.Clients.Office.Excel.Functions.SPG($A$3, "IQ_Common_div_declared", "FQ0", $B5)</f>
        <v>0.5</v>
      </c>
      <c r="M5" s="26" t="e">
        <f>K5/L5</f>
        <v>#VALUE!</v>
      </c>
      <c r="N5" s="15">
        <v>0</v>
      </c>
      <c r="O5" s="15">
        <v>0</v>
      </c>
      <c r="P5" s="9"/>
      <c r="Q5" s="12">
        <v>6063.2160000000003</v>
      </c>
      <c r="R5" s="12">
        <v>6105.3639999999996</v>
      </c>
      <c r="S5" s="5">
        <f>IF(R5&gt;0,R5/Q5,"")</f>
        <v>1.0069514264377188</v>
      </c>
      <c r="T5" s="54">
        <f>_xll.SNL.Clients.Office.Excel.Functions.SPG($A$3, "iq_ebt_excl", "FQ0", B5)/1000</f>
        <v>85.555000000000007</v>
      </c>
      <c r="U5" s="53">
        <f>T5-J5</f>
        <v>9.9180000000000064</v>
      </c>
      <c r="V5" s="25" t="e">
        <f>T5*1000000/I5</f>
        <v>#VALUE!</v>
      </c>
      <c r="W5" s="26" t="e">
        <f>V5/L5</f>
        <v>#VALUE!</v>
      </c>
    </row>
    <row r="6" spans="1:23" ht="15" customHeight="1" x14ac:dyDescent="0.25">
      <c r="A6" s="6" t="s">
        <v>24</v>
      </c>
      <c r="B6" s="7" t="s">
        <v>25</v>
      </c>
      <c r="C6" s="7" t="s">
        <v>83</v>
      </c>
      <c r="D6" s="3"/>
      <c r="E6" s="4"/>
      <c r="F6" s="13">
        <v>25.92</v>
      </c>
      <c r="G6" s="14">
        <v>3741.1019999999999</v>
      </c>
      <c r="H6" s="51">
        <f>_xll.SNL.Clients.Office.Excel.Functions.SPG($A$3, "IQ_Total_debt","FQ0",B6)</f>
        <v>2946162</v>
      </c>
      <c r="I6" s="50" t="str">
        <f>_xll.SNL.Clients.Office.Excel.Functions.SPG($A$3, "sp_shares_out",$B6)</f>
        <v>NA</v>
      </c>
      <c r="J6" s="18">
        <v>71.409000000000006</v>
      </c>
      <c r="K6" s="25" t="e">
        <f t="shared" ref="K6:K24" si="0">(J6*1000000)/I6</f>
        <v>#VALUE!</v>
      </c>
      <c r="L6" s="79">
        <f>_xll.SNL.Clients.Office.Excel.Functions.SPG($A$3, "IQ_Common_div_declared", "FQ0", $B6)</f>
        <v>0.5</v>
      </c>
      <c r="M6" s="26" t="e">
        <f>K6/L6</f>
        <v>#VALUE!</v>
      </c>
      <c r="N6" s="16">
        <v>0</v>
      </c>
      <c r="O6" s="16">
        <v>0</v>
      </c>
      <c r="P6" s="10"/>
      <c r="Q6" s="14">
        <v>7270.3119999999999</v>
      </c>
      <c r="R6" s="14">
        <v>7356.64</v>
      </c>
      <c r="S6" s="8">
        <f>IF(R6&gt;0,R6/Q6,"")</f>
        <v>1.0118740433698032</v>
      </c>
      <c r="T6" s="54">
        <f>_xll.SNL.Clients.Office.Excel.Functions.SPG($A$3, "iq_ebt_excl", "FQ0", B6)/1000</f>
        <v>74.799000000000007</v>
      </c>
      <c r="U6" s="53">
        <f>T6-J6</f>
        <v>3.3900000000000006</v>
      </c>
      <c r="V6" s="25" t="e">
        <f>T6*1000000/I6</f>
        <v>#VALUE!</v>
      </c>
      <c r="W6" s="26" t="e">
        <f>V6/L6</f>
        <v>#VALUE!</v>
      </c>
    </row>
    <row r="7" spans="1:23" ht="15" customHeight="1" x14ac:dyDescent="0.25">
      <c r="A7" s="1" t="s">
        <v>27</v>
      </c>
      <c r="B7" s="2" t="s">
        <v>28</v>
      </c>
      <c r="C7" s="2" t="s">
        <v>84</v>
      </c>
      <c r="D7" s="3"/>
      <c r="E7" s="4"/>
      <c r="F7" s="11">
        <v>26.15</v>
      </c>
      <c r="G7" s="12">
        <v>4142.451</v>
      </c>
      <c r="H7" s="51">
        <f>_xll.SNL.Clients.Office.Excel.Functions.SPG($A$3, "IQ_Total_debt","FQ0",B7)</f>
        <v>3760694</v>
      </c>
      <c r="I7" s="50" t="str">
        <f>_xll.SNL.Clients.Office.Excel.Functions.SPG($A$3, "sp_shares_out",$B7)</f>
        <v>NA</v>
      </c>
      <c r="J7" s="17">
        <v>96.027000000000001</v>
      </c>
      <c r="K7" s="25" t="e">
        <f t="shared" si="0"/>
        <v>#VALUE!</v>
      </c>
      <c r="L7" s="79">
        <f>_xll.SNL.Clients.Office.Excel.Functions.SPG($A$3, "IQ_Common_div_declared", "FQ0", $B7)</f>
        <v>0.5</v>
      </c>
      <c r="M7" s="26" t="e">
        <f>K7/L7</f>
        <v>#VALUE!</v>
      </c>
      <c r="N7" s="15">
        <v>0</v>
      </c>
      <c r="O7" s="15">
        <v>0</v>
      </c>
      <c r="P7" s="9"/>
      <c r="Q7" s="12">
        <v>8125.3209999999999</v>
      </c>
      <c r="R7" s="12">
        <v>8223.0470000000005</v>
      </c>
      <c r="S7" s="5">
        <f>IF(R7&gt;0,R7/Q7,"")</f>
        <v>1.0120273402121591</v>
      </c>
      <c r="T7" s="54">
        <f>_xll.SNL.Clients.Office.Excel.Functions.SPG($A$3, "iq_ebt_excl", "FQ0", B7)/1000</f>
        <v>71.069999999999993</v>
      </c>
      <c r="U7" s="53">
        <f>T7-J7</f>
        <v>-24.957000000000008</v>
      </c>
      <c r="V7" s="25" t="e">
        <f>T7*1000000/I7</f>
        <v>#VALUE!</v>
      </c>
      <c r="W7" s="26" t="e">
        <f>V7/L7</f>
        <v>#VALUE!</v>
      </c>
    </row>
    <row r="8" spans="1:23" ht="15" customHeight="1" x14ac:dyDescent="0.25">
      <c r="A8" s="6" t="s">
        <v>30</v>
      </c>
      <c r="B8" s="7" t="s">
        <v>31</v>
      </c>
      <c r="C8" s="7" t="s">
        <v>85</v>
      </c>
      <c r="D8" s="3"/>
      <c r="E8" s="4"/>
      <c r="F8" s="13">
        <v>26.27</v>
      </c>
      <c r="G8" s="14">
        <v>4447.4790000000003</v>
      </c>
      <c r="H8" s="51">
        <f>_xll.SNL.Clients.Office.Excel.Functions.SPG($A$3, "IQ_Total_debt","FQ0",B8)</f>
        <v>4457715</v>
      </c>
      <c r="I8" s="50">
        <f>_xll.SNL.Clients.Office.Excel.Functions.SPG($A$3, "sp_shares_out",$B8)</f>
        <v>168946951</v>
      </c>
      <c r="J8" s="18">
        <v>111.041</v>
      </c>
      <c r="K8" s="25">
        <f t="shared" si="0"/>
        <v>0.65725364880956039</v>
      </c>
      <c r="L8" s="79">
        <f>_xll.SNL.Clients.Office.Excel.Functions.SPG($A$3, "IQ_Common_div_declared", "FQ0", $B8)</f>
        <v>0.5</v>
      </c>
      <c r="M8" s="26">
        <f>K8/L8</f>
        <v>1.3145072976191208</v>
      </c>
      <c r="N8" s="16">
        <v>0</v>
      </c>
      <c r="O8" s="16">
        <v>0</v>
      </c>
      <c r="P8" s="10"/>
      <c r="Q8" s="14">
        <v>9745.1260000000002</v>
      </c>
      <c r="R8" s="14">
        <v>9855.3790000000008</v>
      </c>
      <c r="S8" s="8">
        <f>IF(R8&gt;0,R8/Q8,"")</f>
        <v>1.0113136556674589</v>
      </c>
      <c r="T8" s="54">
        <f>_xll.SNL.Clients.Office.Excel.Functions.SPG($A$3, "iq_ebt_excl", "FQ0", B8)/1000</f>
        <v>96.027000000000001</v>
      </c>
      <c r="U8" s="53">
        <f>T8-J8</f>
        <v>-15.013999999999996</v>
      </c>
      <c r="V8" s="25">
        <f>T8*1000000/I8</f>
        <v>0.56838551646901281</v>
      </c>
      <c r="W8" s="26">
        <f>V8/L8</f>
        <v>1.1367710329380256</v>
      </c>
    </row>
    <row r="9" spans="1:23" ht="15" customHeight="1" x14ac:dyDescent="0.25">
      <c r="A9" s="1" t="s">
        <v>33</v>
      </c>
      <c r="B9" s="2" t="s">
        <v>34</v>
      </c>
      <c r="C9" s="2" t="s">
        <v>86</v>
      </c>
      <c r="D9" s="3"/>
      <c r="E9" s="4"/>
      <c r="F9" s="11">
        <v>26.13</v>
      </c>
      <c r="G9" s="12">
        <v>4433.87</v>
      </c>
      <c r="H9" s="51">
        <f>_xll.SNL.Clients.Office.Excel.Functions.SPG($A$3, "IQ_Total_debt","FQ0",B9)</f>
        <v>5498633</v>
      </c>
      <c r="I9" s="50">
        <f>_xll.SNL.Clients.Office.Excel.Functions.SPG($A$3, "sp_shares_out",$B9)</f>
        <v>169691413</v>
      </c>
      <c r="J9" s="17">
        <v>104.089</v>
      </c>
      <c r="K9" s="25">
        <f t="shared" si="0"/>
        <v>0.61340169287175417</v>
      </c>
      <c r="L9" s="79">
        <f>_xll.SNL.Clients.Office.Excel.Functions.SPG($A$3, "IQ_Common_div_declared", "FQ0", $B9)</f>
        <v>0.53</v>
      </c>
      <c r="M9" s="26">
        <f>K9/L9</f>
        <v>1.1573616846636869</v>
      </c>
      <c r="N9" s="15">
        <v>0</v>
      </c>
      <c r="O9" s="15">
        <v>0</v>
      </c>
      <c r="P9" s="9"/>
      <c r="Q9" s="12">
        <v>9916.3790000000008</v>
      </c>
      <c r="R9" s="12">
        <v>10024.482</v>
      </c>
      <c r="S9" s="5">
        <f>IF(R9&gt;0,R9/Q9,"")</f>
        <v>1.0109014590910652</v>
      </c>
      <c r="T9" s="54">
        <f>_xll.SNL.Clients.Office.Excel.Functions.SPG($A$3, "iq_ebt_excl", "FQ0", B9)/1000</f>
        <v>107.825</v>
      </c>
      <c r="U9" s="53">
        <f>T9-J9</f>
        <v>3.7360000000000042</v>
      </c>
      <c r="V9" s="25">
        <f>T9*1000000/I9</f>
        <v>0.63541812808170794</v>
      </c>
      <c r="W9" s="26">
        <f>V9/L9</f>
        <v>1.1989021284560526</v>
      </c>
    </row>
    <row r="10" spans="1:23" ht="15" customHeight="1" x14ac:dyDescent="0.25">
      <c r="A10" s="6" t="s">
        <v>36</v>
      </c>
      <c r="B10" s="7" t="s">
        <v>37</v>
      </c>
      <c r="C10" s="7" t="s">
        <v>87</v>
      </c>
      <c r="D10" s="3"/>
      <c r="E10" s="4"/>
      <c r="F10" s="13">
        <v>25.89</v>
      </c>
      <c r="G10" s="14">
        <v>4355.0730000000003</v>
      </c>
      <c r="H10" s="51">
        <f>_xll.SNL.Clients.Office.Excel.Functions.SPG($A$3, "IQ_Total_debt","FQ0",B10)</f>
        <v>5637422</v>
      </c>
      <c r="I10" s="50">
        <f>_xll.SNL.Clients.Office.Excel.Functions.SPG($A$3, "sp_shares_out",$B10)</f>
        <v>169479679</v>
      </c>
      <c r="J10" s="18">
        <v>105.26600000000001</v>
      </c>
      <c r="K10" s="25">
        <f t="shared" si="0"/>
        <v>0.62111281199677038</v>
      </c>
      <c r="L10" s="79">
        <f>_xll.SNL.Clients.Office.Excel.Functions.SPG($A$3, "IQ_Common_div_declared", "FQ0", $B10)</f>
        <v>0.53</v>
      </c>
      <c r="M10" s="26">
        <f>K10/L10</f>
        <v>1.1719109660316422</v>
      </c>
      <c r="N10" s="16">
        <v>0</v>
      </c>
      <c r="O10" s="16">
        <v>0</v>
      </c>
      <c r="P10" s="10"/>
      <c r="Q10" s="14">
        <v>10021.14</v>
      </c>
      <c r="R10" s="14">
        <v>10084.902</v>
      </c>
      <c r="S10" s="8">
        <f>IF(R10&gt;0,R10/Q10,"")</f>
        <v>1.0063627491483005</v>
      </c>
      <c r="T10" s="54">
        <f>_xll.SNL.Clients.Office.Excel.Functions.SPG($A$3, "iq_ebt_excl", "FQ0", B10)/1000</f>
        <v>105.39100000000001</v>
      </c>
      <c r="U10" s="53">
        <f>T10-J10</f>
        <v>0.125</v>
      </c>
      <c r="V10" s="25">
        <f>T10*1000000/I10</f>
        <v>0.62185036354712475</v>
      </c>
      <c r="W10" s="26">
        <f>V10/L10</f>
        <v>1.173302572730424</v>
      </c>
    </row>
    <row r="11" spans="1:23" ht="15" customHeight="1" x14ac:dyDescent="0.25">
      <c r="A11" s="1" t="s">
        <v>39</v>
      </c>
      <c r="B11" s="2" t="s">
        <v>40</v>
      </c>
      <c r="C11" s="2" t="s">
        <v>88</v>
      </c>
      <c r="D11" s="3"/>
      <c r="E11" s="4"/>
      <c r="F11" s="11">
        <v>25.76</v>
      </c>
      <c r="G11" s="12">
        <v>4168.5309999999999</v>
      </c>
      <c r="H11" s="51">
        <f>_xll.SNL.Clients.Office.Excel.Functions.SPG($A$3, "IQ_Total_debt","FQ0",B11)</f>
        <v>5788193</v>
      </c>
      <c r="I11" s="50">
        <f>_xll.SNL.Clients.Office.Excel.Functions.SPG($A$3, "sp_shares_out",$B11)</f>
        <v>169479679</v>
      </c>
      <c r="J11" s="17">
        <v>132.14400000000001</v>
      </c>
      <c r="K11" s="25">
        <f t="shared" si="0"/>
        <v>0.7797040965601546</v>
      </c>
      <c r="L11" s="79">
        <f>_xll.SNL.Clients.Office.Excel.Functions.SPG($A$3, "IQ_Common_div_declared", "FQ0", $B11)</f>
        <v>0.53</v>
      </c>
      <c r="M11" s="26">
        <f>K11/L11</f>
        <v>1.4711398048304802</v>
      </c>
      <c r="N11" s="15">
        <v>0</v>
      </c>
      <c r="O11" s="15">
        <v>0</v>
      </c>
      <c r="P11" s="9"/>
      <c r="Q11" s="12">
        <v>9705.3369999999995</v>
      </c>
      <c r="R11" s="12">
        <v>9672.116</v>
      </c>
      <c r="S11" s="5">
        <f>IF(R11&gt;0,R11/Q11,"")</f>
        <v>0.99657703797405495</v>
      </c>
      <c r="T11" s="54">
        <f>_xll.SNL.Clients.Office.Excel.Functions.SPG($A$3, "iq_ebt_excl", "FQ0", B11)/1000</f>
        <v>105.26600000000001</v>
      </c>
      <c r="U11" s="53">
        <f>T11-J11</f>
        <v>-26.878</v>
      </c>
      <c r="V11" s="25">
        <f>T11*1000000/I11</f>
        <v>0.62111281199677038</v>
      </c>
      <c r="W11" s="26">
        <f>V11/L11</f>
        <v>1.1719109660316422</v>
      </c>
    </row>
    <row r="12" spans="1:23" ht="15" customHeight="1" x14ac:dyDescent="0.25">
      <c r="A12" s="6" t="s">
        <v>42</v>
      </c>
      <c r="B12" s="7" t="s">
        <v>43</v>
      </c>
      <c r="C12" s="7" t="s">
        <v>89</v>
      </c>
      <c r="D12" s="3"/>
      <c r="E12" s="4"/>
      <c r="F12" s="13">
        <v>25.93</v>
      </c>
      <c r="G12" s="14">
        <v>4158.9660000000003</v>
      </c>
      <c r="H12" s="51">
        <f>_xll.SNL.Clients.Office.Excel.Functions.SPG($A$3, "IQ_Total_debt","FQ0",B12)</f>
        <v>5512721</v>
      </c>
      <c r="I12" s="50">
        <f>_xll.SNL.Clients.Office.Excel.Functions.SPG($A$3, "sp_shares_out",$B12)</f>
        <v>159822716</v>
      </c>
      <c r="J12" s="18">
        <v>143.66300000000001</v>
      </c>
      <c r="K12" s="25">
        <f t="shared" si="0"/>
        <v>0.89888974230671936</v>
      </c>
      <c r="L12" s="79">
        <f>_xll.SNL.Clients.Office.Excel.Functions.SPG($A$3, "IQ_Common_div_declared", "FQ0", $B12)</f>
        <v>0.6</v>
      </c>
      <c r="M12" s="26">
        <f>K12/L12</f>
        <v>1.4981495705111989</v>
      </c>
      <c r="N12" s="16">
        <v>0</v>
      </c>
      <c r="O12" s="16">
        <v>0</v>
      </c>
      <c r="P12" s="10"/>
      <c r="Q12" s="14">
        <v>9657.8719999999994</v>
      </c>
      <c r="R12" s="14">
        <v>9617.2479999999996</v>
      </c>
      <c r="S12" s="8">
        <f>IF(R12&gt;0,R12/Q12,"")</f>
        <v>0.99579369036988685</v>
      </c>
      <c r="T12" s="54">
        <f>_xll.SNL.Clients.Office.Excel.Functions.SPG($A$3, "iq_ebt_excl", "FQ0", B12)/1000</f>
        <v>132.14400000000001</v>
      </c>
      <c r="U12" s="53">
        <f>T12-J12</f>
        <v>-11.519000000000005</v>
      </c>
      <c r="V12" s="25">
        <f>T12*1000000/I12</f>
        <v>0.82681613294570722</v>
      </c>
      <c r="W12" s="26">
        <f>V12/L12</f>
        <v>1.3780268882428455</v>
      </c>
    </row>
    <row r="13" spans="1:23" ht="15" customHeight="1" x14ac:dyDescent="0.25">
      <c r="A13" s="1" t="s">
        <v>45</v>
      </c>
      <c r="B13" s="2" t="s">
        <v>46</v>
      </c>
      <c r="C13" s="2" t="s">
        <v>90</v>
      </c>
      <c r="D13" s="3"/>
      <c r="E13" s="4"/>
      <c r="F13" s="11">
        <v>26.1</v>
      </c>
      <c r="G13" s="12">
        <v>4190.4960000000001</v>
      </c>
      <c r="H13" s="51">
        <f>_xll.SNL.Clients.Office.Excel.Functions.SPG($A$3, "IQ_Total_debt","FQ0",B13)</f>
        <v>5527715</v>
      </c>
      <c r="I13" s="50">
        <f>_xll.SNL.Clients.Office.Excel.Functions.SPG($A$3, "sp_shares_out",$B13)</f>
        <v>160571371</v>
      </c>
      <c r="J13" s="17">
        <v>151.797</v>
      </c>
      <c r="K13" s="25">
        <f t="shared" si="0"/>
        <v>0.94535532115497722</v>
      </c>
      <c r="L13" s="79">
        <f>_xll.SNL.Clients.Office.Excel.Functions.SPG($A$3, "IQ_Common_div_declared", "FQ0", $B13)</f>
        <v>0.6</v>
      </c>
      <c r="M13" s="26">
        <f>K13/L13</f>
        <v>1.5755922019249622</v>
      </c>
      <c r="N13" s="15">
        <v>7.000000000000001E-4</v>
      </c>
      <c r="O13" s="9"/>
      <c r="P13" s="9"/>
      <c r="Q13" s="12">
        <v>9669.1059999999998</v>
      </c>
      <c r="R13" s="12">
        <v>9626.2019999999993</v>
      </c>
      <c r="S13" s="5">
        <f>IF(R13&gt;0,R13/Q13,"")</f>
        <v>0.99556277488322076</v>
      </c>
      <c r="T13" s="54">
        <f>_xll.SNL.Clients.Office.Excel.Functions.SPG($A$3, "iq_ebt_excl", "FQ0", B13)/1000</f>
        <v>153.53399999999999</v>
      </c>
      <c r="U13" s="53">
        <f>T13-J13</f>
        <v>1.7369999999999948</v>
      </c>
      <c r="V13" s="25">
        <f>T13*1000000/I13</f>
        <v>0.95617294069189951</v>
      </c>
      <c r="W13" s="26">
        <f>V13/L13</f>
        <v>1.5936215678198327</v>
      </c>
    </row>
    <row r="14" spans="1:23" ht="15" customHeight="1" x14ac:dyDescent="0.25">
      <c r="A14" s="6" t="s">
        <v>48</v>
      </c>
      <c r="B14" s="7" t="s">
        <v>49</v>
      </c>
      <c r="C14" s="7" t="s">
        <v>91</v>
      </c>
      <c r="D14" s="3"/>
      <c r="E14" s="4"/>
      <c r="F14" s="13">
        <v>26.3</v>
      </c>
      <c r="G14" s="14">
        <v>4350.2709999999997</v>
      </c>
      <c r="H14" s="51">
        <f>_xll.SNL.Clients.Office.Excel.Functions.SPG($A$3, "IQ_Total_debt","FQ0",B14)</f>
        <v>5451854</v>
      </c>
      <c r="I14" s="50">
        <f>_xll.SNL.Clients.Office.Excel.Functions.SPG($A$3, "sp_shares_out",$B14)</f>
        <v>165404895</v>
      </c>
      <c r="J14" s="18">
        <v>176.464</v>
      </c>
      <c r="K14" s="25">
        <f t="shared" si="0"/>
        <v>1.0668608084422169</v>
      </c>
      <c r="L14" s="79">
        <f>_xll.SNL.Clients.Office.Excel.Functions.SPG($A$3, "IQ_Common_div_declared", "FQ0", $B14)</f>
        <v>0.7</v>
      </c>
      <c r="M14" s="26">
        <f>K14/L14</f>
        <v>1.524086869203167</v>
      </c>
      <c r="N14" s="16">
        <v>1E-3</v>
      </c>
      <c r="O14" s="10"/>
      <c r="P14" s="10"/>
      <c r="Q14" s="14">
        <v>9353.2860000000001</v>
      </c>
      <c r="R14" s="14">
        <v>9288.5310000000009</v>
      </c>
      <c r="S14" s="8">
        <f>IF(R14&gt;0,R14/Q14,"")</f>
        <v>0.99307676467927963</v>
      </c>
      <c r="T14" s="54">
        <f>_xll.SNL.Clients.Office.Excel.Functions.SPG($A$3, "iq_ebt_excl", "FQ0", B14)/1000</f>
        <v>156.309</v>
      </c>
      <c r="U14" s="53">
        <f>T14-J14</f>
        <v>-20.155000000000001</v>
      </c>
      <c r="V14" s="25">
        <f>T14*1000000/I14</f>
        <v>0.94500830824867665</v>
      </c>
      <c r="W14" s="26">
        <f>V14/L14</f>
        <v>1.3500118689266811</v>
      </c>
    </row>
    <row r="15" spans="1:23" ht="15" customHeight="1" x14ac:dyDescent="0.25">
      <c r="A15" s="1" t="s">
        <v>51</v>
      </c>
      <c r="B15" s="2" t="s">
        <v>52</v>
      </c>
      <c r="C15" s="2" t="s">
        <v>92</v>
      </c>
      <c r="D15" s="3"/>
      <c r="E15" s="4"/>
      <c r="F15" s="11">
        <v>26.54</v>
      </c>
      <c r="G15" s="12">
        <v>4602.5950000000003</v>
      </c>
      <c r="H15" s="51">
        <f>_xll.SNL.Clients.Office.Excel.Functions.SPG($A$3, "IQ_Total_debt","FQ0",B15)</f>
        <v>4977981</v>
      </c>
      <c r="I15" s="50">
        <f>_xll.SNL.Clients.Office.Excel.Functions.SPG($A$3, "sp_shares_out",$B15)</f>
        <v>172123817</v>
      </c>
      <c r="J15" s="17">
        <v>165.779</v>
      </c>
      <c r="K15" s="25">
        <f t="shared" si="0"/>
        <v>0.9631380647339467</v>
      </c>
      <c r="L15" s="79">
        <f>_xll.SNL.Clients.Office.Excel.Functions.SPG($A$3, "IQ_Common_div_declared", "FQ0", $B15)</f>
        <v>0.7</v>
      </c>
      <c r="M15" s="26">
        <f>K15/L15</f>
        <v>1.3759115210484953</v>
      </c>
      <c r="N15" s="15">
        <v>1E-3</v>
      </c>
      <c r="O15" s="9"/>
      <c r="P15" s="9"/>
      <c r="Q15" s="12">
        <v>9551.1129999999994</v>
      </c>
      <c r="R15" s="12">
        <v>9500</v>
      </c>
      <c r="S15" s="5">
        <f>IF(R15&gt;0,R15/Q15,"")</f>
        <v>0.99464847709371673</v>
      </c>
      <c r="T15" s="54">
        <f>_xll.SNL.Clients.Office.Excel.Functions.SPG($A$3, "iq_ebt_excl", "FQ0", B15)/1000</f>
        <v>176.464</v>
      </c>
      <c r="U15" s="53">
        <f>T15-J15</f>
        <v>10.685000000000002</v>
      </c>
      <c r="V15" s="25">
        <f>T15*1000000/I15</f>
        <v>1.0252154703262246</v>
      </c>
      <c r="W15" s="26">
        <f>V15/L15</f>
        <v>1.4645935290374639</v>
      </c>
    </row>
    <row r="16" spans="1:23" ht="15" customHeight="1" x14ac:dyDescent="0.25">
      <c r="A16" s="6" t="s">
        <v>54</v>
      </c>
      <c r="B16" s="7" t="s">
        <v>55</v>
      </c>
      <c r="C16" s="7" t="s">
        <v>93</v>
      </c>
      <c r="D16" s="3"/>
      <c r="E16" s="4"/>
      <c r="F16" s="13">
        <v>26.66</v>
      </c>
      <c r="G16" s="14">
        <v>4952.0410000000002</v>
      </c>
      <c r="H16" s="51">
        <f>_xll.SNL.Clients.Office.Excel.Functions.SPG($A$3, "IQ_Total_debt","FQ0",B16)</f>
        <v>4962379</v>
      </c>
      <c r="I16" s="50">
        <f>_xll.SNL.Clients.Office.Excel.Functions.SPG($A$3, "sp_shares_out",$B16)</f>
        <v>173648687</v>
      </c>
      <c r="J16" s="18">
        <v>176.66</v>
      </c>
      <c r="K16" s="25">
        <f t="shared" si="0"/>
        <v>1.0173414095552591</v>
      </c>
      <c r="L16" s="79">
        <f>_xll.SNL.Clients.Office.Excel.Functions.SPG($A$3, "IQ_Common_div_declared", "FQ0", $B16)</f>
        <v>0.77</v>
      </c>
      <c r="M16" s="26">
        <f>K16/L16</f>
        <v>1.3212226098120248</v>
      </c>
      <c r="N16" s="16">
        <v>1E-3</v>
      </c>
      <c r="O16" s="16">
        <v>0</v>
      </c>
      <c r="P16" s="10"/>
      <c r="Q16" s="14">
        <v>9934.1589999999997</v>
      </c>
      <c r="R16" s="14">
        <v>9868.44</v>
      </c>
      <c r="S16" s="8">
        <f>IF(R16&gt;0,R16/Q16,"")</f>
        <v>0.99338454317069025</v>
      </c>
      <c r="T16" s="54">
        <f>_xll.SNL.Clients.Office.Excel.Functions.SPG($A$3, "iq_ebt_excl", "FQ0", B16)/1000</f>
        <v>165.779</v>
      </c>
      <c r="U16" s="53">
        <f>T16-J16</f>
        <v>-10.881</v>
      </c>
      <c r="V16" s="25">
        <f>T16*1000000/I16</f>
        <v>0.95468041172116669</v>
      </c>
      <c r="W16" s="26">
        <f>V16/L16</f>
        <v>1.2398446905469698</v>
      </c>
    </row>
    <row r="17" spans="1:23" ht="15" customHeight="1" x14ac:dyDescent="0.25">
      <c r="A17" s="1" t="s">
        <v>57</v>
      </c>
      <c r="B17" s="2" t="s">
        <v>58</v>
      </c>
      <c r="C17" s="2" t="s">
        <v>94</v>
      </c>
      <c r="D17" s="3"/>
      <c r="E17" s="4"/>
      <c r="F17" s="11">
        <v>26.87</v>
      </c>
      <c r="G17" s="12">
        <v>5155.665</v>
      </c>
      <c r="H17" s="51">
        <f>_xll.SNL.Clients.Office.Excel.Functions.SPG($A$3, "IQ_Total_debt","FQ0",B17)</f>
        <v>4911930</v>
      </c>
      <c r="I17" s="50">
        <f>_xll.SNL.Clients.Office.Excel.Functions.SPG($A$3, "sp_shares_out",$B17)</f>
        <v>191600986</v>
      </c>
      <c r="J17" s="17">
        <v>169.196</v>
      </c>
      <c r="K17" s="25">
        <f t="shared" si="0"/>
        <v>0.88306434915736809</v>
      </c>
      <c r="L17" s="79">
        <f>_xll.SNL.Clients.Office.Excel.Functions.SPG($A$3, "IQ_Common_div_declared", "FQ0", $B17)</f>
        <v>0.77</v>
      </c>
      <c r="M17" s="26">
        <f>K17/L17</f>
        <v>1.146836817087491</v>
      </c>
      <c r="N17" s="15">
        <v>1E-3</v>
      </c>
      <c r="O17" s="15">
        <v>1E-3</v>
      </c>
      <c r="P17" s="9"/>
      <c r="Q17" s="12">
        <v>10496.753000000001</v>
      </c>
      <c r="R17" s="12">
        <v>10439.173000000001</v>
      </c>
      <c r="S17" s="5">
        <f>IF(R17&gt;0,R17/Q17,"")</f>
        <v>0.99451449414880966</v>
      </c>
      <c r="T17" s="54">
        <f>_xll.SNL.Clients.Office.Excel.Functions.SPG($A$3, "iq_ebt_excl", "FQ0", B17)/1000</f>
        <v>191.749</v>
      </c>
      <c r="U17" s="53">
        <f>T17-J17</f>
        <v>22.552999999999997</v>
      </c>
      <c r="V17" s="25">
        <f>T17*1000000/I17</f>
        <v>1.0007725116821684</v>
      </c>
      <c r="W17" s="26">
        <f>V17/L17</f>
        <v>1.2997045606261928</v>
      </c>
    </row>
    <row r="18" spans="1:23" ht="15" customHeight="1" x14ac:dyDescent="0.25">
      <c r="A18" s="6" t="s">
        <v>60</v>
      </c>
      <c r="B18" s="7" t="s">
        <v>61</v>
      </c>
      <c r="C18" s="7" t="s">
        <v>95</v>
      </c>
      <c r="D18" s="3"/>
      <c r="E18" s="4"/>
      <c r="F18" s="13">
        <v>27.19</v>
      </c>
      <c r="G18" s="14">
        <v>5394.5730000000003</v>
      </c>
      <c r="H18" s="51">
        <f>_xll.SNL.Clients.Office.Excel.Functions.SPG($A$3, "IQ_Total_debt","FQ0",B18)</f>
        <v>5274114</v>
      </c>
      <c r="I18" s="50">
        <f>_xll.SNL.Clients.Office.Excel.Functions.SPG($A$3, "sp_shares_out",$B18)</f>
        <v>192439047</v>
      </c>
      <c r="J18" s="18">
        <v>176.51900000000001</v>
      </c>
      <c r="K18" s="25">
        <f t="shared" si="0"/>
        <v>0.91727226231794834</v>
      </c>
      <c r="L18" s="79">
        <f>_xll.SNL.Clients.Office.Excel.Functions.SPG($A$3, "IQ_Common_div_declared", "FQ0", $B18)</f>
        <v>0.77</v>
      </c>
      <c r="M18" s="26">
        <f>K18/L18</f>
        <v>1.1912626783349978</v>
      </c>
      <c r="N18" s="16">
        <v>2E-3</v>
      </c>
      <c r="O18" s="16">
        <v>3.0000000000000001E-3</v>
      </c>
      <c r="P18" s="10"/>
      <c r="Q18" s="14">
        <v>11330.468999999999</v>
      </c>
      <c r="R18" s="14">
        <v>11293.797</v>
      </c>
      <c r="S18" s="8">
        <f>IF(R18&gt;0,R18/Q18,"")</f>
        <v>0.99676341729543594</v>
      </c>
      <c r="T18" s="54">
        <f>_xll.SNL.Clients.Office.Excel.Functions.SPG($A$3, "iq_ebt_excl", "FQ0", B18)/1000</f>
        <v>174.89</v>
      </c>
      <c r="U18" s="53">
        <f>T18-J18</f>
        <v>-1.6290000000000191</v>
      </c>
      <c r="V18" s="25">
        <f>T18*1000000/I18</f>
        <v>0.90880724430110071</v>
      </c>
      <c r="W18" s="26">
        <f>V18/L18</f>
        <v>1.1802691484429879</v>
      </c>
    </row>
    <row r="19" spans="1:23" ht="15" customHeight="1" x14ac:dyDescent="0.25">
      <c r="A19" s="1" t="s">
        <v>63</v>
      </c>
      <c r="B19" s="2" t="s">
        <v>64</v>
      </c>
      <c r="C19" s="2" t="s">
        <v>96</v>
      </c>
      <c r="D19" s="3"/>
      <c r="E19" s="4"/>
      <c r="F19" s="11">
        <v>27.27</v>
      </c>
      <c r="G19" s="12">
        <v>5700.6670000000004</v>
      </c>
      <c r="H19" s="51">
        <f>_xll.SNL.Clients.Office.Excel.Functions.SPG($A$3, "IQ_Total_debt","FQ0",B19)</f>
        <v>6084261</v>
      </c>
      <c r="I19" s="50">
        <f>_xll.SNL.Clients.Office.Excel.Functions.SPG($A$3, "sp_shares_out",$B19)</f>
        <v>200965855</v>
      </c>
      <c r="J19" s="17">
        <v>189.83099999999999</v>
      </c>
      <c r="K19" s="25">
        <f t="shared" si="0"/>
        <v>0.94459329919502988</v>
      </c>
      <c r="L19" s="79">
        <f>_xll.SNL.Clients.Office.Excel.Functions.SPG($A$3, "IQ_Common_div_declared", "FQ0", $B19)</f>
        <v>0.77</v>
      </c>
      <c r="M19" s="26">
        <f>K19/L19</f>
        <v>1.2267445444091296</v>
      </c>
      <c r="N19" s="15">
        <v>1E-3</v>
      </c>
      <c r="O19" s="15">
        <v>2E-3</v>
      </c>
      <c r="P19" s="9"/>
      <c r="Q19" s="12">
        <v>12006.522000000001</v>
      </c>
      <c r="R19" s="12">
        <v>11978.616</v>
      </c>
      <c r="S19" s="5">
        <f>IF(R19&gt;0,R19/Q19,"")</f>
        <v>0.99767576322268836</v>
      </c>
      <c r="T19" s="54">
        <f>_xll.SNL.Clients.Office.Excel.Functions.SPG($A$3, "iq_ebt_excl", "FQ0", B19)/1000</f>
        <v>176.51900000000001</v>
      </c>
      <c r="U19" s="53">
        <f>T19-J19</f>
        <v>-13.311999999999983</v>
      </c>
      <c r="V19" s="25">
        <f>T19*1000000/I19</f>
        <v>0.87835319089404518</v>
      </c>
      <c r="W19" s="26">
        <f>V19/L19</f>
        <v>1.1407184297325261</v>
      </c>
    </row>
    <row r="20" spans="1:23" ht="15" customHeight="1" x14ac:dyDescent="0.25">
      <c r="A20" s="6" t="s">
        <v>66</v>
      </c>
      <c r="B20" s="7" t="s">
        <v>67</v>
      </c>
      <c r="C20" s="7" t="s">
        <v>97</v>
      </c>
      <c r="D20" s="3"/>
      <c r="E20" s="4"/>
      <c r="F20" s="13">
        <v>27.39</v>
      </c>
      <c r="G20" s="14">
        <v>6076.5209999999997</v>
      </c>
      <c r="H20" s="51">
        <f>_xll.SNL.Clients.Office.Excel.Functions.SPG($A$3, "IQ_Total_debt","FQ0",B20)</f>
        <v>6389094</v>
      </c>
      <c r="I20" s="50">
        <f>_xll.SNL.Clients.Office.Excel.Functions.SPG($A$3, "sp_shares_out",$B20)</f>
        <v>216670844</v>
      </c>
      <c r="J20" s="18">
        <v>186.57300000000001</v>
      </c>
      <c r="K20" s="25">
        <f t="shared" si="0"/>
        <v>0.86108955203959048</v>
      </c>
      <c r="L20" s="79">
        <f>_xll.SNL.Clients.Office.Excel.Functions.SPG($A$3, "IQ_Common_div_declared", "FQ0", $B20)</f>
        <v>0.77</v>
      </c>
      <c r="M20" s="26">
        <f>K20/L20</f>
        <v>1.1182981195319357</v>
      </c>
      <c r="N20" s="16">
        <v>2E-3</v>
      </c>
      <c r="O20" s="16">
        <v>3.0000000000000001E-3</v>
      </c>
      <c r="P20" s="10"/>
      <c r="Q20" s="14">
        <v>13193.218999999999</v>
      </c>
      <c r="R20" s="14">
        <v>13092.518</v>
      </c>
      <c r="S20" s="8">
        <f>IF(R20&gt;0,R20/Q20,"")</f>
        <v>0.99236721530962235</v>
      </c>
      <c r="T20" s="54">
        <f>_xll.SNL.Clients.Office.Excel.Functions.SPG($A$3, "iq_ebt_excl", "FQ0", B20)/1000</f>
        <v>189.83099999999999</v>
      </c>
      <c r="U20" s="53">
        <f>T20-J20</f>
        <v>3.2579999999999814</v>
      </c>
      <c r="V20" s="25">
        <f>T20*1000000/I20</f>
        <v>0.87612618521022612</v>
      </c>
      <c r="W20" s="26">
        <f>V20/L20</f>
        <v>1.1378262145587352</v>
      </c>
    </row>
    <row r="21" spans="1:23" ht="15" customHeight="1" x14ac:dyDescent="0.25">
      <c r="A21" s="1" t="s">
        <v>69</v>
      </c>
      <c r="B21" s="2" t="s">
        <v>70</v>
      </c>
      <c r="C21" s="2" t="s">
        <v>98</v>
      </c>
      <c r="D21" s="3"/>
      <c r="E21" s="4"/>
      <c r="F21" s="11">
        <v>27.39</v>
      </c>
      <c r="G21" s="12">
        <v>6240.8689999999997</v>
      </c>
      <c r="H21" s="51">
        <f>_xll.SNL.Clients.Office.Excel.Functions.SPG($A$3, "IQ_Total_debt","FQ0",B21)</f>
        <v>7056091</v>
      </c>
      <c r="I21" s="50">
        <f>_xll.SNL.Clients.Office.Excel.Functions.SPG($A$3, "sp_shares_out",$B21)</f>
        <v>227818928</v>
      </c>
      <c r="J21" s="17">
        <v>192.965</v>
      </c>
      <c r="K21" s="25">
        <f t="shared" si="0"/>
        <v>0.84701039414951507</v>
      </c>
      <c r="L21" s="79">
        <f>_xll.SNL.Clients.Office.Excel.Functions.SPG($A$3, "IQ_Common_div_declared", "FQ0", $B21)</f>
        <v>0.77</v>
      </c>
      <c r="M21" s="26">
        <f>K21/L21</f>
        <v>1.1000134988954742</v>
      </c>
      <c r="N21" s="15">
        <v>1E-3</v>
      </c>
      <c r="O21" s="15">
        <v>3.0000000000000001E-3</v>
      </c>
      <c r="P21" s="9"/>
      <c r="Q21" s="12">
        <v>12952.035</v>
      </c>
      <c r="R21" s="12">
        <v>12834.206</v>
      </c>
      <c r="S21" s="5">
        <f>IF(R21&gt;0,R21/Q21,"")</f>
        <v>0.99090266510243374</v>
      </c>
      <c r="T21" s="54">
        <f>_xll.SNL.Clients.Office.Excel.Functions.SPG($A$3, "iq_ebt_excl", "FQ0", B21)/1000</f>
        <v>196.703</v>
      </c>
      <c r="U21" s="53">
        <f>T21-J21</f>
        <v>3.7379999999999995</v>
      </c>
      <c r="V21" s="25">
        <f>T21*1000000/I21</f>
        <v>0.86341816163756158</v>
      </c>
      <c r="W21" s="26">
        <f>V21/L21</f>
        <v>1.121322287840989</v>
      </c>
    </row>
    <row r="22" spans="1:23" ht="15" customHeight="1" x14ac:dyDescent="0.25">
      <c r="A22" s="6" t="s">
        <v>72</v>
      </c>
      <c r="B22" s="7" t="s">
        <v>73</v>
      </c>
      <c r="C22" s="7" t="s">
        <v>99</v>
      </c>
      <c r="D22" s="3"/>
      <c r="E22" s="4"/>
      <c r="F22" s="13">
        <v>27.33</v>
      </c>
      <c r="G22" s="14">
        <v>6288.2960000000003</v>
      </c>
      <c r="H22" s="51">
        <f>_xll.SNL.Clients.Office.Excel.Functions.SPG($A$3, "IQ_Total_debt","FQ0",B22)</f>
        <v>7383118</v>
      </c>
      <c r="I22" s="50">
        <f>_xll.SNL.Clients.Office.Excel.Functions.SPG($A$3, "sp_shares_out",$B22)</f>
        <v>228009989</v>
      </c>
      <c r="J22" s="18">
        <v>179.7</v>
      </c>
      <c r="K22" s="25">
        <f t="shared" si="0"/>
        <v>0.78812336594604193</v>
      </c>
      <c r="L22" s="79">
        <f>_xll.SNL.Clients.Office.Excel.Functions.SPG($A$3, "IQ_Common_div_declared", "FQ0", $B22)</f>
        <v>0.77</v>
      </c>
      <c r="M22" s="26">
        <f>K22/L22</f>
        <v>1.0235368388909636</v>
      </c>
      <c r="N22" s="16">
        <v>1E-3</v>
      </c>
      <c r="O22" s="16">
        <v>3.0000000000000001E-3</v>
      </c>
      <c r="P22" s="10"/>
      <c r="Q22" s="14">
        <v>13327.359</v>
      </c>
      <c r="R22" s="14">
        <v>13252.8</v>
      </c>
      <c r="S22" s="8">
        <f>IF(R22&gt;0,R22/Q22,"")</f>
        <v>0.9944055682750047</v>
      </c>
      <c r="T22" s="54">
        <f>_xll.SNL.Clients.Office.Excel.Functions.SPG($A$3, "iq_ebt_excl", "FQ0", B22)/1000</f>
        <v>192.26</v>
      </c>
      <c r="U22" s="53">
        <f>T22-J22</f>
        <v>12.560000000000002</v>
      </c>
      <c r="V22" s="25">
        <f>T22*1000000/I22</f>
        <v>0.84320867187972193</v>
      </c>
      <c r="W22" s="26">
        <f>V22/L22</f>
        <v>1.095076197246392</v>
      </c>
    </row>
    <row r="23" spans="1:23" ht="15" customHeight="1" x14ac:dyDescent="0.25">
      <c r="A23" s="1" t="s">
        <v>75</v>
      </c>
      <c r="B23" s="2" t="s">
        <v>76</v>
      </c>
      <c r="C23" s="2" t="s">
        <v>100</v>
      </c>
      <c r="D23" s="3"/>
      <c r="E23" s="4"/>
      <c r="F23" s="11">
        <v>27.15</v>
      </c>
      <c r="G23" s="12">
        <v>6269.576</v>
      </c>
      <c r="H23" s="51">
        <f>_xll.SNL.Clients.Office.Excel.Functions.SPG($A$3, "IQ_Total_debt","FQ0",B23)</f>
        <v>7090550</v>
      </c>
      <c r="I23" s="50">
        <f>_xll.SNL.Clients.Office.Excel.Functions.SPG($A$3, "sp_shares_out",$B23)</f>
        <v>230232988</v>
      </c>
      <c r="J23" s="17">
        <v>193.70599999999999</v>
      </c>
      <c r="K23" s="25">
        <f t="shared" si="0"/>
        <v>0.84134772207360653</v>
      </c>
      <c r="L23" s="79">
        <f>_xll.SNL.Clients.Office.Excel.Functions.SPG($A$3, "IQ_Common_div_declared", "FQ0", $B23)</f>
        <v>0.77</v>
      </c>
      <c r="M23" s="26">
        <f>K23/L23</f>
        <v>1.0926593793163721</v>
      </c>
      <c r="N23" s="15">
        <v>1E-3</v>
      </c>
      <c r="O23" s="15">
        <v>1E-3</v>
      </c>
      <c r="P23" s="9"/>
      <c r="Q23" s="12">
        <v>13932.697</v>
      </c>
      <c r="R23" s="12">
        <v>13809.636</v>
      </c>
      <c r="S23" s="5">
        <f>IF(R23&gt;0,R23/Q23,"")</f>
        <v>0.99116746743290263</v>
      </c>
      <c r="T23" s="54">
        <f>_xll.SNL.Clients.Office.Excel.Functions.SPG($A$3, "iq_ebt_excl", "FQ0", B23)/1000</f>
        <v>179.7</v>
      </c>
      <c r="U23" s="53">
        <f>T23-J23</f>
        <v>-14.006</v>
      </c>
      <c r="V23" s="25">
        <f>T23*1000000/I23</f>
        <v>0.78051369424089656</v>
      </c>
      <c r="W23" s="26">
        <f>V23/L23</f>
        <v>1.0136541483648007</v>
      </c>
    </row>
    <row r="24" spans="1:23" ht="15" customHeight="1" x14ac:dyDescent="0.25">
      <c r="A24" s="6" t="s">
        <v>78</v>
      </c>
      <c r="B24" s="7" t="s">
        <v>79</v>
      </c>
      <c r="C24" s="7" t="s">
        <v>101</v>
      </c>
      <c r="D24" s="3"/>
      <c r="E24" s="4"/>
      <c r="F24" s="13">
        <v>26.92</v>
      </c>
      <c r="G24" s="14">
        <v>6245.1750000000002</v>
      </c>
      <c r="H24" s="51">
        <f>_xll.SNL.Clients.Office.Excel.Functions.SPG($A$3, "IQ_Total_debt","FQ0",B24)</f>
        <v>7656956</v>
      </c>
      <c r="I24" s="50">
        <f>_xll.SNL.Clients.Office.Excel.Functions.SPG($A$3, "sp_shares_out",$B24)</f>
        <v>231220381</v>
      </c>
      <c r="J24" s="18">
        <v>189.67500000000001</v>
      </c>
      <c r="K24" s="25">
        <f t="shared" si="0"/>
        <v>0.82032128474003341</v>
      </c>
      <c r="L24" s="79">
        <f>_xll.SNL.Clients.Office.Excel.Functions.SPG($A$3, "IQ_Common_div_declared", "FQ0", $B24)</f>
        <v>0.77</v>
      </c>
      <c r="M24" s="26">
        <f>K24/L24</f>
        <v>1.0653523178441993</v>
      </c>
      <c r="N24" s="16">
        <v>5.0000000000000001E-3</v>
      </c>
      <c r="O24" s="16">
        <v>6.0000000000000001E-3</v>
      </c>
      <c r="P24" s="10"/>
      <c r="Q24" s="14">
        <v>14387.967000000001</v>
      </c>
      <c r="R24" s="14">
        <v>14207.294</v>
      </c>
      <c r="S24" s="8">
        <f>IF(R24&gt;0,R24/Q24,"")</f>
        <v>0.98744277075420028</v>
      </c>
      <c r="T24" s="54">
        <f>_xll.SNL.Clients.Office.Excel.Functions.SPG($A$3, "iq_ebt_excl", "FQ0", B24)/1000</f>
        <v>193.70599999999999</v>
      </c>
      <c r="U24" s="53">
        <f>T24-J24</f>
        <v>4.0309999999999775</v>
      </c>
      <c r="V24" s="25">
        <f>T24*1000000/I24</f>
        <v>0.83775486902255381</v>
      </c>
      <c r="W24" s="26">
        <f>V24/L24</f>
        <v>1.0879933363929271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891B2"/>
  </sheetPr>
  <dimension ref="A1:W24"/>
  <sheetViews>
    <sheetView workbookViewId="0">
      <pane xSplit="3" ySplit="4" topLeftCell="D5" activePane="bottomRight" state="frozen"/>
      <selection pane="topRight"/>
      <selection pane="bottomLeft"/>
      <selection pane="bottomRight" activeCell="I4" sqref="I4"/>
    </sheetView>
    <sheetView workbookViewId="1">
      <selection sqref="A1:S1"/>
    </sheetView>
  </sheetViews>
  <sheetFormatPr defaultRowHeight="15" x14ac:dyDescent="0.25"/>
  <cols>
    <col min="1" max="1" width="9" style="61" customWidth="1"/>
    <col min="2" max="3" width="11" style="61" customWidth="1"/>
    <col min="4" max="5" width="12" style="61" customWidth="1"/>
    <col min="6" max="6" width="11" style="61" customWidth="1"/>
    <col min="7" max="8" width="12" style="61" customWidth="1"/>
    <col min="9" max="9" width="14" style="61" customWidth="1"/>
    <col min="10" max="10" width="14" customWidth="1"/>
    <col min="11" max="13" width="11" style="61" customWidth="1"/>
    <col min="14" max="15" width="13" style="61" customWidth="1"/>
    <col min="16" max="18" width="14" style="61" customWidth="1"/>
    <col min="19" max="19" width="12" style="61" customWidth="1"/>
    <col min="22" max="22" width="14" customWidth="1"/>
    <col min="23" max="23" width="13.5703125" customWidth="1"/>
  </cols>
  <sheetData>
    <row r="1" spans="1:23" ht="15" customHeight="1" x14ac:dyDescent="0.25">
      <c r="A1" s="57" t="s">
        <v>102</v>
      </c>
    </row>
    <row r="2" spans="1:23" ht="15" customHeight="1" x14ac:dyDescent="0.25">
      <c r="A2" s="55" t="s">
        <v>1</v>
      </c>
    </row>
    <row r="3" spans="1:23" x14ac:dyDescent="0.25">
      <c r="A3" s="29" t="s">
        <v>168</v>
      </c>
    </row>
    <row r="4" spans="1:23" ht="43.5" thickBot="1" x14ac:dyDescent="0.3">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x14ac:dyDescent="0.25">
      <c r="A5" s="62" t="s">
        <v>21</v>
      </c>
      <c r="B5" s="63" t="s">
        <v>22</v>
      </c>
      <c r="C5" s="63" t="s">
        <v>103</v>
      </c>
      <c r="D5" s="64"/>
      <c r="E5" s="65"/>
      <c r="F5" s="72">
        <v>14.86</v>
      </c>
      <c r="G5" s="73">
        <v>2499.1309999999999</v>
      </c>
      <c r="H5" s="51">
        <f>_xll.SNL.Clients.Office.Excel.Functions.SPG($A$3, "IQ_Total_debt","FQ0",B5)</f>
        <v>2321741</v>
      </c>
      <c r="I5" s="50">
        <f>_xll.SNL.Clients.Office.Excel.Functions.SPG($A$3, "sp_shares_out",$B5)</f>
        <v>167259511</v>
      </c>
      <c r="J5" s="17">
        <v>40.308</v>
      </c>
      <c r="K5" s="25">
        <f>(J5*1000000)/I5</f>
        <v>0.24099077989053788</v>
      </c>
      <c r="L5" s="79">
        <f>_xll.SNL.Clients.Office.Excel.Functions.SPG($A$3, "IQ_Common_div_declared", "FQ0", $B5)</f>
        <v>0.28999999999999998</v>
      </c>
      <c r="M5" s="26">
        <f>K5/L5</f>
        <v>0.83100268927771692</v>
      </c>
      <c r="N5" s="66"/>
      <c r="O5" s="66"/>
      <c r="P5" s="67"/>
      <c r="Q5" s="73">
        <v>4444.4009999999998</v>
      </c>
      <c r="R5" s="73">
        <v>4395.2610000000004</v>
      </c>
      <c r="S5" s="66">
        <f>IF(R5&gt;0,R5/Q5,"")</f>
        <v>0.98894339192165615</v>
      </c>
      <c r="T5" s="54">
        <f>_xll.SNL.Clients.Office.Excel.Functions.SPG($A$3, "iq_ebt_excl", "FQ0", B5)/1000</f>
        <v>32.963000000000001</v>
      </c>
      <c r="U5" s="53">
        <f>T5-J5</f>
        <v>-7.3449999999999989</v>
      </c>
      <c r="V5" s="25">
        <f>T5*1000000/I5</f>
        <v>0.19707698416026101</v>
      </c>
      <c r="W5" s="26">
        <f>V5/L5</f>
        <v>0.67957580744917589</v>
      </c>
    </row>
    <row r="6" spans="1:23" x14ac:dyDescent="0.25">
      <c r="A6" s="68" t="s">
        <v>24</v>
      </c>
      <c r="B6" s="69" t="s">
        <v>25</v>
      </c>
      <c r="C6" s="69" t="s">
        <v>104</v>
      </c>
      <c r="D6" s="64"/>
      <c r="E6" s="65"/>
      <c r="F6" s="74">
        <v>15.06</v>
      </c>
      <c r="G6" s="75">
        <v>2546.9110000000001</v>
      </c>
      <c r="H6" s="51">
        <f>_xll.SNL.Clients.Office.Excel.Functions.SPG($A$3, "IQ_Total_debt","FQ0",B6)</f>
        <v>2067767</v>
      </c>
      <c r="I6" s="50">
        <f>_xll.SNL.Clients.Office.Excel.Functions.SPG($A$3, "sp_shares_out",$B6)</f>
        <v>168231707</v>
      </c>
      <c r="J6" s="18">
        <v>42.064999999999998</v>
      </c>
      <c r="K6" s="25">
        <f t="shared" ref="K6:K24" si="0">(J6*1000000)/I6</f>
        <v>0.25004204469018437</v>
      </c>
      <c r="L6" s="79">
        <f>_xll.SNL.Clients.Office.Excel.Functions.SPG($A$3, "IQ_Common_div_declared", "FQ0", $B6)</f>
        <v>0.28999999999999998</v>
      </c>
      <c r="M6" s="26">
        <f>K6/L6</f>
        <v>0.86221394720753242</v>
      </c>
      <c r="N6" s="70"/>
      <c r="O6" s="70"/>
      <c r="P6" s="71"/>
      <c r="Q6" s="75">
        <v>4452.027</v>
      </c>
      <c r="R6" s="75">
        <v>4439.5469999999996</v>
      </c>
      <c r="S6" s="70">
        <f>IF(R6&gt;0,R6/Q6,"")</f>
        <v>0.99719678249929744</v>
      </c>
      <c r="T6" s="54">
        <f>_xll.SNL.Clients.Office.Excel.Functions.SPG($A$3, "iq_ebt_excl", "FQ0", B6)/1000</f>
        <v>41.683999999999997</v>
      </c>
      <c r="U6" s="53">
        <f>T6-J6</f>
        <v>-0.38100000000000023</v>
      </c>
      <c r="V6" s="25">
        <f>T6*1000000/I6</f>
        <v>0.2477773110867858</v>
      </c>
      <c r="W6" s="26">
        <f>V6/L6</f>
        <v>0.85440452098891662</v>
      </c>
    </row>
    <row r="7" spans="1:23" x14ac:dyDescent="0.25">
      <c r="A7" s="62" t="s">
        <v>27</v>
      </c>
      <c r="B7" s="63" t="s">
        <v>28</v>
      </c>
      <c r="C7" s="63" t="s">
        <v>105</v>
      </c>
      <c r="D7" s="64"/>
      <c r="E7" s="65"/>
      <c r="F7" s="72">
        <v>15.19</v>
      </c>
      <c r="G7" s="73">
        <v>2582.692</v>
      </c>
      <c r="H7" s="51">
        <f>_xll.SNL.Clients.Office.Excel.Functions.SPG($A$3, "IQ_Total_debt","FQ0",B7)</f>
        <v>2115235</v>
      </c>
      <c r="I7" s="50">
        <f>_xll.SNL.Clients.Office.Excel.Functions.SPG($A$3, "sp_shares_out",$B7)</f>
        <v>169151857</v>
      </c>
      <c r="J7" s="78">
        <v>46.292000000000002</v>
      </c>
      <c r="K7" s="25">
        <f t="shared" si="0"/>
        <v>0.27367124914271557</v>
      </c>
      <c r="L7" s="79">
        <f>_xll.SNL.Clients.Office.Excel.Functions.SPG($A$3, "IQ_Common_div_declared", "FQ0", $B7)</f>
        <v>0.28999999999999998</v>
      </c>
      <c r="M7" s="26">
        <f>K7/L7</f>
        <v>0.94369396256108817</v>
      </c>
      <c r="N7" s="76">
        <v>0.01</v>
      </c>
      <c r="O7" s="76">
        <v>1.2999999999999999E-2</v>
      </c>
      <c r="P7" s="67"/>
      <c r="Q7" s="73">
        <v>4895.3969999999999</v>
      </c>
      <c r="R7" s="73">
        <v>4894.8860000000004</v>
      </c>
      <c r="S7" s="66">
        <f>IF(R7&gt;0,R7/Q7,"")</f>
        <v>0.99989561622887801</v>
      </c>
      <c r="T7" s="54">
        <f>_xll.SNL.Clients.Office.Excel.Functions.SPG($A$3, "iq_ebt_excl", "FQ0", B7)/1000</f>
        <v>40.228000000000002</v>
      </c>
      <c r="U7" s="53">
        <f>T7-J7</f>
        <v>-6.0640000000000001</v>
      </c>
      <c r="V7" s="25">
        <f>T7*1000000/I7</f>
        <v>0.23782180529061528</v>
      </c>
      <c r="W7" s="26">
        <f>V7/L7</f>
        <v>0.82007519065729417</v>
      </c>
    </row>
    <row r="8" spans="1:23" x14ac:dyDescent="0.25">
      <c r="A8" s="68" t="s">
        <v>30</v>
      </c>
      <c r="B8" s="69" t="s">
        <v>31</v>
      </c>
      <c r="C8" s="69" t="s">
        <v>32</v>
      </c>
      <c r="D8" s="64"/>
      <c r="E8" s="65"/>
      <c r="F8" s="74">
        <v>15.26</v>
      </c>
      <c r="G8" s="75">
        <v>2607.4789999999998</v>
      </c>
      <c r="H8" s="51">
        <f>_xll.SNL.Clients.Office.Excel.Functions.SPG($A$3, "IQ_Total_debt","FQ0",B8)</f>
        <v>2551378</v>
      </c>
      <c r="I8" s="50">
        <f>_xll.SNL.Clients.Office.Excel.Functions.SPG($A$3, "sp_shares_out",$B8)</f>
        <v>170028584</v>
      </c>
      <c r="J8" s="18">
        <v>44.79</v>
      </c>
      <c r="K8" s="25">
        <f t="shared" si="0"/>
        <v>0.26342629542806756</v>
      </c>
      <c r="L8" s="79">
        <f>_xll.SNL.Clients.Office.Excel.Functions.SPG($A$3, "IQ_Common_div_declared", "FQ0", $B8)</f>
        <v>0.28999999999999998</v>
      </c>
      <c r="M8" s="26">
        <f>K8/L8</f>
        <v>0.90836653595885375</v>
      </c>
      <c r="N8" s="70"/>
      <c r="O8" s="70"/>
      <c r="P8" s="71"/>
      <c r="Q8" s="75">
        <v>5143.5910000000003</v>
      </c>
      <c r="R8" s="75">
        <v>5146.7659999999996</v>
      </c>
      <c r="S8" s="70">
        <f>IF(R8&gt;0,R8/Q8,"")</f>
        <v>1.000617273029679</v>
      </c>
      <c r="T8" s="54">
        <f>_xll.SNL.Clients.Office.Excel.Functions.SPG($A$3, "iq_ebt_excl", "FQ0", B8)/1000</f>
        <v>52.448999999999998</v>
      </c>
      <c r="U8" s="53">
        <f>T8-J8</f>
        <v>7.6589999999999989</v>
      </c>
      <c r="V8" s="25">
        <f>T8*1000000/I8</f>
        <v>0.30847166262350334</v>
      </c>
      <c r="W8" s="26">
        <f>V8/L8</f>
        <v>1.0636953883569082</v>
      </c>
    </row>
    <row r="9" spans="1:23" x14ac:dyDescent="0.25">
      <c r="A9" s="62" t="s">
        <v>33</v>
      </c>
      <c r="B9" s="63" t="s">
        <v>34</v>
      </c>
      <c r="C9" s="63" t="s">
        <v>106</v>
      </c>
      <c r="D9" s="64"/>
      <c r="E9" s="65"/>
      <c r="F9" s="72">
        <v>15.35</v>
      </c>
      <c r="G9" s="73">
        <v>2623.549</v>
      </c>
      <c r="H9" s="51">
        <f>_xll.SNL.Clients.Office.Excel.Functions.SPG($A$3, "IQ_Total_debt","FQ0",B9)</f>
        <v>2830428</v>
      </c>
      <c r="I9" s="50">
        <f>_xll.SNL.Clients.Office.Excel.Functions.SPG($A$3, "sp_shares_out",$B9)</f>
        <v>170865742</v>
      </c>
      <c r="J9" s="17">
        <v>43.44</v>
      </c>
      <c r="K9" s="25">
        <f t="shared" si="0"/>
        <v>0.25423469615108685</v>
      </c>
      <c r="L9" s="79">
        <f>_xll.SNL.Clients.Office.Excel.Functions.SPG($A$3, "IQ_Common_div_declared", "FQ0", $B9)</f>
        <v>0.3</v>
      </c>
      <c r="M9" s="26">
        <f>K9/L9</f>
        <v>0.84744898717028949</v>
      </c>
      <c r="N9" s="76">
        <v>1.0999999999999999E-2</v>
      </c>
      <c r="O9" s="76">
        <v>1.4999999999999999E-2</v>
      </c>
      <c r="P9" s="67"/>
      <c r="Q9" s="73">
        <v>5405.0190000000002</v>
      </c>
      <c r="R9" s="73">
        <v>5426.1589999999997</v>
      </c>
      <c r="S9" s="66">
        <f>IF(R9&gt;0,R9/Q9,"")</f>
        <v>1.003911179590673</v>
      </c>
      <c r="T9" s="54">
        <f>_xll.SNL.Clients.Office.Excel.Functions.SPG($A$3, "iq_ebt_excl", "FQ0", B9)/1000</f>
        <v>44.249000000000002</v>
      </c>
      <c r="U9" s="53">
        <f>T9-J9</f>
        <v>0.8090000000000046</v>
      </c>
      <c r="V9" s="25">
        <f>T9*1000000/I9</f>
        <v>0.25896940768852306</v>
      </c>
      <c r="W9" s="26">
        <f>V9/L9</f>
        <v>0.86323135896174352</v>
      </c>
    </row>
    <row r="10" spans="1:23" x14ac:dyDescent="0.25">
      <c r="A10" s="68" t="s">
        <v>36</v>
      </c>
      <c r="B10" s="69" t="s">
        <v>37</v>
      </c>
      <c r="C10" s="69" t="s">
        <v>107</v>
      </c>
      <c r="D10" s="64"/>
      <c r="E10" s="65"/>
      <c r="F10" s="74">
        <v>15.14</v>
      </c>
      <c r="G10" s="75">
        <v>2587.6860000000001</v>
      </c>
      <c r="H10" s="51">
        <f>_xll.SNL.Clients.Office.Excel.Functions.SPG($A$3, "IQ_Total_debt","FQ0",B10)</f>
        <v>2960176</v>
      </c>
      <c r="I10" s="50">
        <f>_xll.SNL.Clients.Office.Excel.Functions.SPG($A$3, "sp_shares_out",$B10)</f>
        <v>170895670</v>
      </c>
      <c r="J10" s="18">
        <v>53.927999999999997</v>
      </c>
      <c r="K10" s="25">
        <f t="shared" si="0"/>
        <v>0.31556095013993041</v>
      </c>
      <c r="L10" s="79">
        <f>_xll.SNL.Clients.Office.Excel.Functions.SPG($A$3, "IQ_Common_div_declared", "FQ0", $B10)</f>
        <v>0.3</v>
      </c>
      <c r="M10" s="26">
        <f>K10/L10</f>
        <v>1.0518698337997681</v>
      </c>
      <c r="N10" s="77">
        <v>1.0999999999999999E-2</v>
      </c>
      <c r="O10" s="77">
        <v>1.4999999999999999E-2</v>
      </c>
      <c r="P10" s="71"/>
      <c r="Q10" s="75">
        <v>5656.2020000000002</v>
      </c>
      <c r="R10" s="75">
        <v>5613.55</v>
      </c>
      <c r="S10" s="70">
        <f>IF(R10&gt;0,R10/Q10,"")</f>
        <v>0.99245925092491394</v>
      </c>
      <c r="T10" s="54">
        <f>_xll.SNL.Clients.Office.Excel.Functions.SPG($A$3, "iq_ebt_excl", "FQ0", B10)/1000</f>
        <v>40.86</v>
      </c>
      <c r="U10" s="53">
        <f>T10-J10</f>
        <v>-13.067999999999998</v>
      </c>
      <c r="V10" s="25">
        <f>T10*1000000/I10</f>
        <v>0.23909324326356543</v>
      </c>
      <c r="W10" s="26">
        <f>V10/L10</f>
        <v>0.79697747754521808</v>
      </c>
    </row>
    <row r="11" spans="1:23" x14ac:dyDescent="0.25">
      <c r="A11" s="62" t="s">
        <v>39</v>
      </c>
      <c r="B11" s="63" t="s">
        <v>40</v>
      </c>
      <c r="C11" s="63" t="s">
        <v>108</v>
      </c>
      <c r="D11" s="64"/>
      <c r="E11" s="65"/>
      <c r="F11" s="72">
        <v>14.89</v>
      </c>
      <c r="G11" s="73">
        <v>2544.5</v>
      </c>
      <c r="H11" s="51">
        <f>_xll.SNL.Clients.Office.Excel.Functions.SPG($A$3, "IQ_Total_debt","FQ0",B11)</f>
        <v>3135685</v>
      </c>
      <c r="I11" s="50">
        <f>_xll.SNL.Clients.Office.Excel.Functions.SPG($A$3, "sp_shares_out",$B11)</f>
        <v>170895670</v>
      </c>
      <c r="J11" s="17">
        <v>54.033000000000001</v>
      </c>
      <c r="K11" s="25">
        <f t="shared" si="0"/>
        <v>0.3161753600895798</v>
      </c>
      <c r="L11" s="79">
        <f>_xll.SNL.Clients.Office.Excel.Functions.SPG($A$3, "IQ_Common_div_declared", "FQ0", $B11)</f>
        <v>0.3</v>
      </c>
      <c r="M11" s="26">
        <f>K11/L11</f>
        <v>1.053917866965266</v>
      </c>
      <c r="N11" s="76">
        <v>1.2999999999999999E-2</v>
      </c>
      <c r="O11" s="76">
        <v>1.7999999999999999E-2</v>
      </c>
      <c r="P11" s="67"/>
      <c r="Q11" s="73">
        <v>5569.6040000000003</v>
      </c>
      <c r="R11" s="73">
        <v>5446.3559999999998</v>
      </c>
      <c r="S11" s="66">
        <f>IF(R11&gt;0,R11/Q11,"")</f>
        <v>0.97787131724266207</v>
      </c>
      <c r="T11" s="54">
        <f>_xll.SNL.Clients.Office.Excel.Functions.SPG($A$3, "iq_ebt_excl", "FQ0", B11)/1000</f>
        <v>53.283000000000001</v>
      </c>
      <c r="U11" s="53">
        <f>T11-J11</f>
        <v>-0.75</v>
      </c>
      <c r="V11" s="25">
        <f>T11*1000000/I11</f>
        <v>0.31178671759208409</v>
      </c>
      <c r="W11" s="26">
        <f>V11/L11</f>
        <v>1.0392890586402803</v>
      </c>
    </row>
    <row r="12" spans="1:23" x14ac:dyDescent="0.25">
      <c r="A12" s="68" t="s">
        <v>42</v>
      </c>
      <c r="B12" s="69" t="s">
        <v>43</v>
      </c>
      <c r="C12" s="69" t="s">
        <v>109</v>
      </c>
      <c r="D12" s="64"/>
      <c r="E12" s="65"/>
      <c r="F12" s="74">
        <v>14.71</v>
      </c>
      <c r="G12" s="75">
        <v>2513.6849999999999</v>
      </c>
      <c r="H12" s="51">
        <f>_xll.SNL.Clients.Office.Excel.Functions.SPG($A$3, "IQ_Total_debt","FQ0",B12)</f>
        <v>3076392</v>
      </c>
      <c r="I12" s="50">
        <f>_xll.SNL.Clients.Office.Excel.Functions.SPG($A$3, "sp_shares_out",$B12)</f>
        <v>170895670</v>
      </c>
      <c r="J12" s="18">
        <v>63.863</v>
      </c>
      <c r="K12" s="25">
        <f t="shared" si="0"/>
        <v>0.37369583442342336</v>
      </c>
      <c r="L12" s="79">
        <f>_xll.SNL.Clients.Office.Excel.Functions.SPG($A$3, "IQ_Common_div_declared", "FQ0", $B12)</f>
        <v>0.3</v>
      </c>
      <c r="M12" s="26">
        <f>K12/L12</f>
        <v>1.2456527814114113</v>
      </c>
      <c r="N12" s="77">
        <v>1.7999999999999999E-2</v>
      </c>
      <c r="O12" s="77">
        <v>2.7E-2</v>
      </c>
      <c r="P12" s="71"/>
      <c r="Q12" s="75">
        <v>5583.415</v>
      </c>
      <c r="R12" s="75">
        <v>5451.9459999999999</v>
      </c>
      <c r="S12" s="70">
        <f>IF(R12&gt;0,R12/Q12,"")</f>
        <v>0.97645365784201965</v>
      </c>
      <c r="T12" s="54">
        <f>_xll.SNL.Clients.Office.Excel.Functions.SPG($A$3, "iq_ebt_excl", "FQ0", B12)/1000</f>
        <v>53.616</v>
      </c>
      <c r="U12" s="53">
        <f>T12-J12</f>
        <v>-10.247</v>
      </c>
      <c r="V12" s="25">
        <f>T12*1000000/I12</f>
        <v>0.31373527486097219</v>
      </c>
      <c r="W12" s="26">
        <f>V12/L12</f>
        <v>1.0457842495365741</v>
      </c>
    </row>
    <row r="13" spans="1:23" x14ac:dyDescent="0.25">
      <c r="A13" s="62" t="s">
        <v>45</v>
      </c>
      <c r="B13" s="63" t="s">
        <v>46</v>
      </c>
      <c r="C13" s="63" t="s">
        <v>110</v>
      </c>
      <c r="D13" s="64"/>
      <c r="E13" s="65"/>
      <c r="F13" s="72">
        <v>14.73</v>
      </c>
      <c r="G13" s="73">
        <v>2506.145</v>
      </c>
      <c r="H13" s="51">
        <f>_xll.SNL.Clients.Office.Excel.Functions.SPG($A$3, "IQ_Total_debt","FQ0",B13)</f>
        <v>3084416</v>
      </c>
      <c r="I13" s="50">
        <f>_xll.SNL.Clients.Office.Excel.Functions.SPG($A$3, "sp_shares_out",$B13)</f>
        <v>170895670</v>
      </c>
      <c r="J13" s="17">
        <v>70.438000000000002</v>
      </c>
      <c r="K13" s="25">
        <f t="shared" si="0"/>
        <v>0.4121696003181356</v>
      </c>
      <c r="L13" s="79">
        <f>_xll.SNL.Clients.Office.Excel.Functions.SPG($A$3, "IQ_Common_div_declared", "FQ0", $B13)</f>
        <v>0.33</v>
      </c>
      <c r="M13" s="26">
        <f>K13/L13</f>
        <v>1.2489987888428351</v>
      </c>
      <c r="N13" s="76">
        <v>1.7000000000000001E-2</v>
      </c>
      <c r="O13" s="76">
        <v>2.5999999999999999E-2</v>
      </c>
      <c r="P13" s="67"/>
      <c r="Q13" s="73">
        <v>5618.6949999999997</v>
      </c>
      <c r="R13" s="73">
        <v>5486.3519999999999</v>
      </c>
      <c r="S13" s="66">
        <f>IF(R13&gt;0,R13/Q13,"")</f>
        <v>0.97644595408720358</v>
      </c>
      <c r="T13" s="54">
        <f>_xll.SNL.Clients.Office.Excel.Functions.SPG($A$3, "iq_ebt_excl", "FQ0", B13)/1000</f>
        <v>62.389000000000003</v>
      </c>
      <c r="U13" s="53">
        <f>T13-J13</f>
        <v>-8.0489999999999995</v>
      </c>
      <c r="V13" s="25">
        <f>T13*1000000/I13</f>
        <v>0.36507068903501183</v>
      </c>
      <c r="W13" s="26">
        <f>V13/L13</f>
        <v>1.1062748152576116</v>
      </c>
    </row>
    <row r="14" spans="1:23" x14ac:dyDescent="0.25">
      <c r="A14" s="68" t="s">
        <v>48</v>
      </c>
      <c r="B14" s="69" t="s">
        <v>49</v>
      </c>
      <c r="C14" s="69" t="s">
        <v>111</v>
      </c>
      <c r="D14" s="64"/>
      <c r="E14" s="65"/>
      <c r="F14" s="74">
        <v>14.83</v>
      </c>
      <c r="G14" s="75">
        <v>2515.9180000000001</v>
      </c>
      <c r="H14" s="51">
        <f>_xll.SNL.Clients.Office.Excel.Functions.SPG($A$3, "IQ_Total_debt","FQ0",B14)</f>
        <v>3097703</v>
      </c>
      <c r="I14" s="50">
        <f>_xll.SNL.Clients.Office.Excel.Functions.SPG($A$3, "sp_shares_out",$B14)</f>
        <v>169963496</v>
      </c>
      <c r="J14" s="18">
        <v>73.778000000000006</v>
      </c>
      <c r="K14" s="25">
        <f t="shared" si="0"/>
        <v>0.43408144534753512</v>
      </c>
      <c r="L14" s="79">
        <f>_xll.SNL.Clients.Office.Excel.Functions.SPG($A$3, "IQ_Common_div_declared", "FQ0", $B14)</f>
        <v>0.33</v>
      </c>
      <c r="M14" s="26">
        <f>K14/L14</f>
        <v>1.3153983192349548</v>
      </c>
      <c r="N14" s="77">
        <v>1.4999999999999999E-2</v>
      </c>
      <c r="O14" s="77">
        <v>1.7999999999999999E-2</v>
      </c>
      <c r="P14" s="71"/>
      <c r="Q14" s="75">
        <v>5605.5209999999997</v>
      </c>
      <c r="R14" s="75">
        <v>5525.009</v>
      </c>
      <c r="S14" s="70">
        <f>IF(R14&gt;0,R14/Q14,"")</f>
        <v>0.98563701750470656</v>
      </c>
      <c r="T14" s="54">
        <f>_xll.SNL.Clients.Office.Excel.Functions.SPG($A$3, "iq_ebt_excl", "FQ0", B14)/1000</f>
        <v>71.277000000000001</v>
      </c>
      <c r="U14" s="53">
        <f>T14-J14</f>
        <v>-2.5010000000000048</v>
      </c>
      <c r="V14" s="25">
        <f>T14*1000000/I14</f>
        <v>0.41936652091458509</v>
      </c>
      <c r="W14" s="26">
        <f>V14/L14</f>
        <v>1.2708076391351062</v>
      </c>
    </row>
    <row r="15" spans="1:23" x14ac:dyDescent="0.25">
      <c r="A15" s="62" t="s">
        <v>51</v>
      </c>
      <c r="B15" s="63" t="s">
        <v>52</v>
      </c>
      <c r="C15" s="63" t="s">
        <v>112</v>
      </c>
      <c r="D15" s="64"/>
      <c r="E15" s="65"/>
      <c r="F15" s="72">
        <v>15.02</v>
      </c>
      <c r="G15" s="73">
        <v>2547.8780000000002</v>
      </c>
      <c r="H15" s="51">
        <f>_xll.SNL.Clients.Office.Excel.Functions.SPG($A$3, "IQ_Total_debt","FQ0",B15)</f>
        <v>3151689</v>
      </c>
      <c r="I15" s="50">
        <f>_xll.SNL.Clients.Office.Excel.Functions.SPG($A$3, "sp_shares_out",$B15)</f>
        <v>169594742</v>
      </c>
      <c r="J15" s="17">
        <v>84.691000000000003</v>
      </c>
      <c r="K15" s="25">
        <f t="shared" si="0"/>
        <v>0.49937279305510546</v>
      </c>
      <c r="L15" s="79">
        <f>_xll.SNL.Clients.Office.Excel.Functions.SPG($A$3, "IQ_Common_div_declared", "FQ0", $B15)</f>
        <v>0.33</v>
      </c>
      <c r="M15" s="26">
        <f>K15/L15</f>
        <v>1.513250888045774</v>
      </c>
      <c r="N15" s="76">
        <v>1.2E-2</v>
      </c>
      <c r="O15" s="76">
        <v>1.6E-2</v>
      </c>
      <c r="P15" s="67"/>
      <c r="Q15" s="73">
        <v>5593.8360000000002</v>
      </c>
      <c r="R15" s="73">
        <v>5516.6130000000003</v>
      </c>
      <c r="S15" s="66">
        <f>IF(R15&gt;0,R15/Q15,"")</f>
        <v>0.98619498319221377</v>
      </c>
      <c r="T15" s="54">
        <f>_xll.SNL.Clients.Office.Excel.Functions.SPG($A$3, "iq_ebt_excl", "FQ0", B15)/1000</f>
        <v>74.908000000000001</v>
      </c>
      <c r="U15" s="53">
        <f>T15-J15</f>
        <v>-9.7830000000000013</v>
      </c>
      <c r="V15" s="25">
        <f>T15*1000000/I15</f>
        <v>0.44168822167847632</v>
      </c>
      <c r="W15" s="26">
        <f>V15/L15</f>
        <v>1.3384491566014434</v>
      </c>
    </row>
    <row r="16" spans="1:23" x14ac:dyDescent="0.25">
      <c r="A16" s="68" t="s">
        <v>54</v>
      </c>
      <c r="B16" s="69" t="s">
        <v>55</v>
      </c>
      <c r="C16" s="69" t="s">
        <v>113</v>
      </c>
      <c r="D16" s="64"/>
      <c r="E16" s="65"/>
      <c r="F16" s="74">
        <v>15.03</v>
      </c>
      <c r="G16" s="75">
        <v>2563.9180000000001</v>
      </c>
      <c r="H16" s="51">
        <f>_xll.SNL.Clients.Office.Excel.Functions.SPG($A$3, "IQ_Total_debt","FQ0",B16)</f>
        <v>3117719</v>
      </c>
      <c r="I16" s="50">
        <f>_xll.SNL.Clients.Office.Excel.Functions.SPG($A$3, "sp_shares_out",$B16)</f>
        <v>169594742</v>
      </c>
      <c r="J16" s="18">
        <v>84.034999999999997</v>
      </c>
      <c r="K16" s="25">
        <f t="shared" si="0"/>
        <v>0.49550474860830296</v>
      </c>
      <c r="L16" s="79">
        <f>_xll.SNL.Clients.Office.Excel.Functions.SPG($A$3, "IQ_Common_div_declared", "FQ0", $B16)</f>
        <v>0.37</v>
      </c>
      <c r="M16" s="26">
        <f>K16/L16</f>
        <v>1.3392020232656836</v>
      </c>
      <c r="N16" s="77">
        <v>1.0999999999999999E-2</v>
      </c>
      <c r="O16" s="77">
        <v>1.7000000000000001E-2</v>
      </c>
      <c r="P16" s="71"/>
      <c r="Q16" s="75">
        <v>5510.4520000000002</v>
      </c>
      <c r="R16" s="75">
        <v>5443.4269999999997</v>
      </c>
      <c r="S16" s="70">
        <f>IF(R16&gt;0,R16/Q16,"")</f>
        <v>0.98783675095981227</v>
      </c>
      <c r="T16" s="54">
        <f>_xll.SNL.Clients.Office.Excel.Functions.SPG($A$3, "iq_ebt_excl", "FQ0", B16)/1000</f>
        <v>83.667000000000002</v>
      </c>
      <c r="U16" s="53">
        <f>T16-J16</f>
        <v>-0.367999999999995</v>
      </c>
      <c r="V16" s="25">
        <f>T16*1000000/I16</f>
        <v>0.49333487001619425</v>
      </c>
      <c r="W16" s="26">
        <f>V16/L16</f>
        <v>1.3333374865302547</v>
      </c>
    </row>
    <row r="17" spans="1:23" x14ac:dyDescent="0.25">
      <c r="A17" s="62" t="s">
        <v>57</v>
      </c>
      <c r="B17" s="63" t="s">
        <v>58</v>
      </c>
      <c r="C17" s="63" t="s">
        <v>114</v>
      </c>
      <c r="D17" s="64"/>
      <c r="E17" s="65"/>
      <c r="F17" s="72">
        <v>15.12</v>
      </c>
      <c r="G17" s="73">
        <v>2593.64</v>
      </c>
      <c r="H17" s="51">
        <f>_xll.SNL.Clients.Office.Excel.Functions.SPG($A$3, "IQ_Total_debt","FQ0",B17)</f>
        <v>3065284</v>
      </c>
      <c r="I17" s="50">
        <f>_xll.SNL.Clients.Office.Excel.Functions.SPG($A$3, "sp_shares_out",$B17)</f>
        <v>170585795</v>
      </c>
      <c r="J17" s="17">
        <v>87.102999999999994</v>
      </c>
      <c r="K17" s="25">
        <f t="shared" si="0"/>
        <v>0.51061109748323419</v>
      </c>
      <c r="L17" s="79">
        <f>_xll.SNL.Clients.Office.Excel.Functions.SPG($A$3, "IQ_Common_div_declared", "FQ0", $B17)</f>
        <v>0.37</v>
      </c>
      <c r="M17" s="26">
        <f>K17/L17</f>
        <v>1.3800299931979303</v>
      </c>
      <c r="N17" s="76">
        <v>9.0000000000000011E-3</v>
      </c>
      <c r="O17" s="76">
        <v>1.4999999999999999E-2</v>
      </c>
      <c r="P17" s="67"/>
      <c r="Q17" s="73">
        <v>5443.61</v>
      </c>
      <c r="R17" s="73">
        <v>5394.7370000000001</v>
      </c>
      <c r="S17" s="66">
        <f>IF(R17&gt;0,R17/Q17,"")</f>
        <v>0.9910219505071084</v>
      </c>
      <c r="T17" s="54">
        <f>_xll.SNL.Clients.Office.Excel.Functions.SPG($A$3, "iq_ebt_excl", "FQ0", B17)/1000</f>
        <v>84.694000000000003</v>
      </c>
      <c r="U17" s="53">
        <f>T17-J17</f>
        <v>-2.4089999999999918</v>
      </c>
      <c r="V17" s="25">
        <f>T17*1000000/I17</f>
        <v>0.49648917132871467</v>
      </c>
      <c r="W17" s="26">
        <f>V17/L17</f>
        <v>1.3418626252127424</v>
      </c>
    </row>
    <row r="18" spans="1:23" x14ac:dyDescent="0.25">
      <c r="A18" s="68" t="s">
        <v>60</v>
      </c>
      <c r="B18" s="69" t="s">
        <v>61</v>
      </c>
      <c r="C18" s="69" t="s">
        <v>115</v>
      </c>
      <c r="D18" s="64"/>
      <c r="E18" s="65"/>
      <c r="F18" s="74">
        <v>15.32</v>
      </c>
      <c r="G18" s="75">
        <v>4053.643</v>
      </c>
      <c r="H18" s="51">
        <f>_xll.SNL.Clients.Office.Excel.Functions.SPG($A$3, "IQ_Total_debt","FQ0",B18)</f>
        <v>3266992</v>
      </c>
      <c r="I18" s="50">
        <f>_xll.SNL.Clients.Office.Excel.Functions.SPG($A$3, "sp_shares_out",$B18)</f>
        <v>263632615</v>
      </c>
      <c r="J18" s="18">
        <v>92.846999999999994</v>
      </c>
      <c r="K18" s="25">
        <f t="shared" si="0"/>
        <v>0.35218328354403344</v>
      </c>
      <c r="L18" s="79">
        <f>_xll.SNL.Clients.Office.Excel.Functions.SPG($A$3, "IQ_Common_div_declared", "FQ0", $B18)</f>
        <v>0.39</v>
      </c>
      <c r="M18" s="26">
        <f>K18/L18</f>
        <v>0.90303406036931644</v>
      </c>
      <c r="N18" s="77">
        <v>1.2E-2</v>
      </c>
      <c r="O18" s="77">
        <v>1.7999999999999999E-2</v>
      </c>
      <c r="P18" s="71"/>
      <c r="Q18" s="75">
        <v>7965.8879999999999</v>
      </c>
      <c r="R18" s="75">
        <v>7867.5140000000001</v>
      </c>
      <c r="S18" s="70">
        <f>IF(R18&gt;0,R18/Q18,"")</f>
        <v>0.9876505921248202</v>
      </c>
      <c r="T18" s="54">
        <f>_xll.SNL.Clients.Office.Excel.Functions.SPG($A$3, "iq_ebt_excl", "FQ0", B18)/1000</f>
        <v>85.738</v>
      </c>
      <c r="U18" s="53">
        <f>T18-J18</f>
        <v>-7.1089999999999947</v>
      </c>
      <c r="V18" s="25">
        <f>T18*1000000/I18</f>
        <v>0.32521772770793173</v>
      </c>
      <c r="W18" s="26">
        <f>V18/L18</f>
        <v>0.83389160950751717</v>
      </c>
    </row>
    <row r="19" spans="1:23" x14ac:dyDescent="0.25">
      <c r="A19" s="62" t="s">
        <v>63</v>
      </c>
      <c r="B19" s="63" t="s">
        <v>64</v>
      </c>
      <c r="C19" s="63" t="s">
        <v>116</v>
      </c>
      <c r="D19" s="64"/>
      <c r="E19" s="65"/>
      <c r="F19" s="72">
        <v>15.19</v>
      </c>
      <c r="G19" s="73">
        <v>4014.529</v>
      </c>
      <c r="H19" s="51">
        <f>_xll.SNL.Clients.Office.Excel.Functions.SPG($A$3, "IQ_Total_debt","FQ0",B19)</f>
        <v>4315465</v>
      </c>
      <c r="I19" s="50">
        <f>_xll.SNL.Clients.Office.Excel.Functions.SPG($A$3, "sp_shares_out",$B19)</f>
        <v>264609056</v>
      </c>
      <c r="J19" s="17">
        <v>119.646</v>
      </c>
      <c r="K19" s="25">
        <f t="shared" si="0"/>
        <v>0.45216139541346612</v>
      </c>
      <c r="L19" s="79">
        <f>_xll.SNL.Clients.Office.Excel.Functions.SPG($A$3, "IQ_Common_div_declared", "FQ0", $B19)</f>
        <v>0.39</v>
      </c>
      <c r="M19" s="26">
        <f>K19/L19</f>
        <v>1.1593881933678618</v>
      </c>
      <c r="N19" s="76">
        <v>1.2E-2</v>
      </c>
      <c r="O19" s="76">
        <v>1.7999999999999999E-2</v>
      </c>
      <c r="P19" s="67"/>
      <c r="Q19" s="73">
        <v>8302.9130000000005</v>
      </c>
      <c r="R19" s="73">
        <v>8235.4110000000001</v>
      </c>
      <c r="S19" s="66">
        <f>IF(R19&gt;0,R19/Q19,"")</f>
        <v>0.99187008222294992</v>
      </c>
      <c r="T19" s="54">
        <f>_xll.SNL.Clients.Office.Excel.Functions.SPG($A$3, "iq_ebt_excl", "FQ0", B19)/1000</f>
        <v>93.945999999999998</v>
      </c>
      <c r="U19" s="53">
        <f>T19-J19</f>
        <v>-25.700000000000003</v>
      </c>
      <c r="V19" s="25">
        <f>T19*1000000/I19</f>
        <v>0.35503697953557567</v>
      </c>
      <c r="W19" s="26">
        <f>V19/L19</f>
        <v>0.91035122957839909</v>
      </c>
    </row>
    <row r="20" spans="1:23" x14ac:dyDescent="0.25">
      <c r="A20" s="68" t="s">
        <v>66</v>
      </c>
      <c r="B20" s="69" t="s">
        <v>67</v>
      </c>
      <c r="C20" s="69" t="s">
        <v>117</v>
      </c>
      <c r="D20" s="64"/>
      <c r="E20" s="65"/>
      <c r="F20" s="74">
        <v>15.13</v>
      </c>
      <c r="G20" s="75">
        <v>4017.5439999999999</v>
      </c>
      <c r="H20" s="51">
        <f>_xll.SNL.Clients.Office.Excel.Functions.SPG($A$3, "IQ_Total_debt","FQ0",B20)</f>
        <v>4599430</v>
      </c>
      <c r="I20" s="50">
        <f>_xll.SNL.Clients.Office.Excel.Functions.SPG($A$3, "sp_shares_out",$B20)</f>
        <v>264277128</v>
      </c>
      <c r="J20" s="18">
        <v>96.114999999999995</v>
      </c>
      <c r="K20" s="25">
        <f t="shared" si="0"/>
        <v>0.3636901941813141</v>
      </c>
      <c r="L20" s="79">
        <f>_xll.SNL.Clients.Office.Excel.Functions.SPG($A$3, "IQ_Common_div_declared", "FQ0", $B20)</f>
        <v>0.39</v>
      </c>
      <c r="M20" s="26">
        <f>K20/L20</f>
        <v>0.9325389594392669</v>
      </c>
      <c r="N20" s="77">
        <v>5.0000000000000001E-3</v>
      </c>
      <c r="O20" s="77">
        <v>9.0000000000000011E-3</v>
      </c>
      <c r="P20" s="71"/>
      <c r="Q20" s="75">
        <v>8755.5660000000007</v>
      </c>
      <c r="R20" s="75">
        <v>8685.2309999999998</v>
      </c>
      <c r="S20" s="70">
        <f>IF(R20&gt;0,R20/Q20,"")</f>
        <v>0.99196682430353433</v>
      </c>
      <c r="T20" s="54">
        <f>_xll.SNL.Clients.Office.Excel.Functions.SPG($A$3, "iq_ebt_excl", "FQ0", B20)/1000</f>
        <v>123.607</v>
      </c>
      <c r="U20" s="53">
        <f>T20-J20</f>
        <v>27.492000000000004</v>
      </c>
      <c r="V20" s="25">
        <f>T20*1000000/I20</f>
        <v>0.46771735766706229</v>
      </c>
      <c r="W20" s="26">
        <f>V20/L20</f>
        <v>1.1992752760693906</v>
      </c>
    </row>
    <row r="21" spans="1:23" x14ac:dyDescent="0.25">
      <c r="A21" s="62" t="s">
        <v>69</v>
      </c>
      <c r="B21" s="63" t="s">
        <v>70</v>
      </c>
      <c r="C21" s="63" t="s">
        <v>118</v>
      </c>
      <c r="D21" s="64"/>
      <c r="E21" s="65"/>
      <c r="F21" s="72">
        <v>15.04</v>
      </c>
      <c r="G21" s="73">
        <v>4043.498</v>
      </c>
      <c r="H21" s="51">
        <f>_xll.SNL.Clients.Office.Excel.Functions.SPG($A$3, "IQ_Total_debt","FQ0",B21)</f>
        <v>4890564</v>
      </c>
      <c r="I21" s="50">
        <f>_xll.SNL.Clients.Office.Excel.Functions.SPG($A$3, "sp_shares_out",$B21)</f>
        <v>265498597</v>
      </c>
      <c r="J21" s="17">
        <v>98.662000000000006</v>
      </c>
      <c r="K21" s="25">
        <f t="shared" si="0"/>
        <v>0.37161024997808179</v>
      </c>
      <c r="L21" s="79">
        <f>_xll.SNL.Clients.Office.Excel.Functions.SPG($A$3, "IQ_Common_div_declared", "FQ0", $B21)</f>
        <v>0.39</v>
      </c>
      <c r="M21" s="26">
        <f>K21/L21</f>
        <v>0.95284679481559431</v>
      </c>
      <c r="N21" s="76">
        <v>6.9999999999999993E-3</v>
      </c>
      <c r="O21" s="76">
        <v>1.2E-2</v>
      </c>
      <c r="P21" s="67"/>
      <c r="Q21" s="73">
        <v>8672.6200000000008</v>
      </c>
      <c r="R21" s="73">
        <v>8621.2199999999993</v>
      </c>
      <c r="S21" s="66">
        <f>IF(R21&gt;0,R21/Q21,"")</f>
        <v>0.99407330195488774</v>
      </c>
      <c r="T21" s="54">
        <f>_xll.SNL.Clients.Office.Excel.Functions.SPG($A$3, "iq_ebt_excl", "FQ0", B21)/1000</f>
        <v>92.57</v>
      </c>
      <c r="U21" s="53">
        <f>T21-J21</f>
        <v>-6.092000000000013</v>
      </c>
      <c r="V21" s="25">
        <f>T21*1000000/I21</f>
        <v>0.34866474266152148</v>
      </c>
      <c r="W21" s="26">
        <f>V21/L21</f>
        <v>0.89401216067056788</v>
      </c>
    </row>
    <row r="22" spans="1:23" x14ac:dyDescent="0.25">
      <c r="A22" s="68" t="s">
        <v>72</v>
      </c>
      <c r="B22" s="69" t="s">
        <v>73</v>
      </c>
      <c r="C22" s="69" t="s">
        <v>119</v>
      </c>
      <c r="D22" s="64"/>
      <c r="E22" s="65"/>
      <c r="F22" s="74">
        <v>15</v>
      </c>
      <c r="G22" s="75">
        <v>3995.3290000000002</v>
      </c>
      <c r="H22" s="51">
        <f>_xll.SNL.Clients.Office.Excel.Functions.SPG($A$3, "IQ_Total_debt","FQ0",B22)</f>
        <v>4806918</v>
      </c>
      <c r="I22" s="50">
        <f>_xll.SNL.Clients.Office.Excel.Functions.SPG($A$3, "sp_shares_out",$B22)</f>
        <v>266387616</v>
      </c>
      <c r="J22" s="18">
        <v>101.262</v>
      </c>
      <c r="K22" s="25">
        <f t="shared" si="0"/>
        <v>0.38013028353390121</v>
      </c>
      <c r="L22" s="79">
        <f>_xll.SNL.Clients.Office.Excel.Functions.SPG($A$3, "IQ_Common_div_declared", "FQ0", $B22)</f>
        <v>0.39</v>
      </c>
      <c r="M22" s="26">
        <f>K22/L22</f>
        <v>0.97469303470231072</v>
      </c>
      <c r="N22" s="77">
        <v>6.0000000000000001E-3</v>
      </c>
      <c r="O22" s="77">
        <v>1.2E-2</v>
      </c>
      <c r="P22" s="71"/>
      <c r="Q22" s="75">
        <v>8967.518</v>
      </c>
      <c r="R22" s="75">
        <v>8961.5490000000009</v>
      </c>
      <c r="S22" s="70">
        <f>IF(R22&gt;0,R22/Q22,"")</f>
        <v>0.99933437546487236</v>
      </c>
      <c r="T22" s="54">
        <f>_xll.SNL.Clients.Office.Excel.Functions.SPG($A$3, "iq_ebt_excl", "FQ0", B22)/1000</f>
        <v>100.417</v>
      </c>
      <c r="U22" s="53">
        <f>T22-J22</f>
        <v>-0.84499999999999886</v>
      </c>
      <c r="V22" s="25">
        <f>T22*1000000/I22</f>
        <v>0.37695821415361891</v>
      </c>
      <c r="W22" s="26">
        <f>V22/L22</f>
        <v>0.96655952347081764</v>
      </c>
    </row>
    <row r="23" spans="1:23" x14ac:dyDescent="0.25">
      <c r="A23" s="62" t="s">
        <v>75</v>
      </c>
      <c r="B23" s="63" t="s">
        <v>76</v>
      </c>
      <c r="C23" s="63" t="s">
        <v>120</v>
      </c>
      <c r="D23" s="64"/>
      <c r="E23" s="65"/>
      <c r="F23" s="72">
        <v>14.97</v>
      </c>
      <c r="G23" s="73">
        <v>3982.567</v>
      </c>
      <c r="H23" s="51">
        <f>_xll.SNL.Clients.Office.Excel.Functions.SPG($A$3, "IQ_Total_debt","FQ0",B23)</f>
        <v>5127148</v>
      </c>
      <c r="I23" s="50">
        <f>_xll.SNL.Clients.Office.Excel.Functions.SPG($A$3, "sp_shares_out",$B23)</f>
        <v>266376416</v>
      </c>
      <c r="J23" s="17">
        <v>100.765</v>
      </c>
      <c r="K23" s="25">
        <f t="shared" si="0"/>
        <v>0.37828048561175925</v>
      </c>
      <c r="L23" s="79">
        <f>_xll.SNL.Clients.Office.Excel.Functions.SPG($A$3, "IQ_Common_div_declared", "FQ0", $B23)</f>
        <v>0.39</v>
      </c>
      <c r="M23" s="26">
        <f>K23/L23</f>
        <v>0.96994996310707493</v>
      </c>
      <c r="N23" s="76">
        <v>3.0000000000000001E-3</v>
      </c>
      <c r="O23" s="76">
        <v>6.0000000000000001E-3</v>
      </c>
      <c r="P23" s="67"/>
      <c r="Q23" s="73">
        <v>8759.9380000000001</v>
      </c>
      <c r="R23" s="73">
        <v>8769.3889999999992</v>
      </c>
      <c r="S23" s="66">
        <f>IF(R23&gt;0,R23/Q23,"")</f>
        <v>1.0010788889145106</v>
      </c>
      <c r="T23" s="54">
        <f>_xll.SNL.Clients.Office.Excel.Functions.SPG($A$3, "iq_ebt_excl", "FQ0", B23)/1000</f>
        <v>102.5</v>
      </c>
      <c r="U23" s="53">
        <f>T23-J23</f>
        <v>1.7349999999999994</v>
      </c>
      <c r="V23" s="25">
        <f>T23*1000000/I23</f>
        <v>0.38479382499087306</v>
      </c>
      <c r="W23" s="26">
        <f>V23/L23</f>
        <v>0.98665083330993086</v>
      </c>
    </row>
    <row r="24" spans="1:23" x14ac:dyDescent="0.25">
      <c r="A24" s="68" t="s">
        <v>78</v>
      </c>
      <c r="B24" s="69" t="s">
        <v>79</v>
      </c>
      <c r="C24" s="69" t="s">
        <v>80</v>
      </c>
      <c r="D24" s="64"/>
      <c r="E24" s="65"/>
      <c r="F24" s="74">
        <v>14.84</v>
      </c>
      <c r="G24" s="75">
        <v>3909.154</v>
      </c>
      <c r="H24" s="51">
        <f>_xll.SNL.Clients.Office.Excel.Functions.SPG($A$3, "IQ_Total_debt","FQ0",B24)</f>
        <v>4900773</v>
      </c>
      <c r="I24" s="50">
        <f>_xll.SNL.Clients.Office.Excel.Functions.SPG($A$3, "sp_shares_out",$B24)</f>
        <v>263467541</v>
      </c>
      <c r="J24" s="18">
        <v>95.757999999999996</v>
      </c>
      <c r="K24" s="25">
        <f t="shared" si="0"/>
        <v>0.36345274122401289</v>
      </c>
      <c r="L24" s="79">
        <f>_xll.SNL.Clients.Office.Excel.Functions.SPG($A$3, "IQ_Common_div_declared", "FQ0", $B24)</f>
        <v>0.39</v>
      </c>
      <c r="M24" s="26">
        <f>K24/L24</f>
        <v>0.93193010570259716</v>
      </c>
      <c r="N24" s="77">
        <v>8.0000000000000002E-3</v>
      </c>
      <c r="O24" s="77">
        <v>1.2999999999999999E-2</v>
      </c>
      <c r="P24" s="71"/>
      <c r="Q24" s="75">
        <v>8653.7279999999992</v>
      </c>
      <c r="R24" s="75">
        <v>8639.2309999999998</v>
      </c>
      <c r="S24" s="70">
        <f>IF(R24&gt;0,R24/Q24,"")</f>
        <v>0.99832476823861349</v>
      </c>
      <c r="T24" s="54">
        <f>_xll.SNL.Clients.Office.Excel.Functions.SPG($A$3, "iq_ebt_excl", "FQ0", B24)/1000</f>
        <v>101.794</v>
      </c>
      <c r="U24" s="53">
        <f>T24-J24</f>
        <v>6.0360000000000014</v>
      </c>
      <c r="V24" s="25">
        <f>T24*1000000/I24</f>
        <v>0.38636258422436942</v>
      </c>
      <c r="W24" s="26">
        <f>V24/L24</f>
        <v>0.99067329288299844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63EB"/>
  </sheetPr>
  <dimension ref="A1:W24"/>
  <sheetViews>
    <sheetView workbookViewId="0">
      <pane xSplit="3" ySplit="4" topLeftCell="D5" activePane="bottomRight" state="frozen"/>
      <selection pane="topRight"/>
      <selection pane="bottomLeft"/>
      <selection pane="bottomRight" activeCell="A4" sqref="A4:W4"/>
    </sheetView>
    <sheetView workbookViewId="1">
      <selection sqref="A1:S1"/>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3" ht="16.5" x14ac:dyDescent="0.25">
      <c r="A1" s="57" t="s">
        <v>121</v>
      </c>
      <c r="B1" s="56"/>
      <c r="C1" s="56"/>
      <c r="D1" s="56"/>
      <c r="E1" s="56"/>
      <c r="F1" s="56"/>
      <c r="G1" s="56"/>
      <c r="H1" s="56"/>
      <c r="I1" s="56"/>
      <c r="N1" s="56"/>
      <c r="O1" s="56"/>
      <c r="P1" s="56"/>
      <c r="Q1" s="56"/>
      <c r="R1" s="56"/>
      <c r="S1" s="56"/>
    </row>
    <row r="2" spans="1:23" x14ac:dyDescent="0.25">
      <c r="A2" s="55" t="s">
        <v>1</v>
      </c>
      <c r="B2" s="56"/>
      <c r="C2" s="56"/>
      <c r="D2" s="56"/>
      <c r="E2" s="56"/>
      <c r="F2" s="56"/>
      <c r="G2" s="56"/>
      <c r="H2" s="56"/>
      <c r="I2" s="56"/>
      <c r="N2" s="56"/>
      <c r="O2" s="56"/>
      <c r="P2" s="56"/>
      <c r="Q2" s="56"/>
      <c r="R2" s="56"/>
      <c r="S2" s="56"/>
    </row>
    <row r="3" spans="1:23" x14ac:dyDescent="0.25">
      <c r="A3" s="27" t="s">
        <v>169</v>
      </c>
    </row>
    <row r="4" spans="1:23" ht="43.5" thickBot="1" x14ac:dyDescent="0.3">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x14ac:dyDescent="0.25">
      <c r="A5" s="1" t="s">
        <v>21</v>
      </c>
      <c r="B5" s="2" t="s">
        <v>22</v>
      </c>
      <c r="C5" s="2" t="s">
        <v>122</v>
      </c>
      <c r="D5" s="3"/>
      <c r="E5" s="4"/>
      <c r="F5" s="11">
        <v>14.82</v>
      </c>
      <c r="G5" s="12">
        <v>5802.0879999999997</v>
      </c>
      <c r="H5" s="51">
        <f>_xll.SNL.Clients.Office.Excel.Functions.SPG($A$3, "IQ_Total_debt","FQ0",B5)</f>
        <v>5292722</v>
      </c>
      <c r="I5" s="60">
        <f>_xll.SNL.Clients.Office.Excel.Functions.SPG($A$3, "sp_shares_out",$B5)</f>
        <v>391401787</v>
      </c>
      <c r="J5" s="78">
        <v>102.655</v>
      </c>
      <c r="K5" s="25">
        <f>(J5*1000000)/I5</f>
        <v>0.26227524607597152</v>
      </c>
      <c r="L5" s="79">
        <f>_xll.SNL.Clients.Office.Excel.Functions.SPG($A$3, "IQ_Common_div_declared", "FQ0", $B5)</f>
        <v>0.31</v>
      </c>
      <c r="M5" s="26">
        <f>K5/L5</f>
        <v>0.84604918089023073</v>
      </c>
      <c r="N5" s="9"/>
      <c r="O5" s="15">
        <v>5.0000000000000001E-3</v>
      </c>
      <c r="P5" s="9"/>
      <c r="Q5" s="12">
        <v>11272.749</v>
      </c>
      <c r="R5" s="12">
        <v>11240.472</v>
      </c>
      <c r="S5" s="5">
        <f>IF(R5&gt;0,R5/Q5,"")</f>
        <v>0.99713672326067049</v>
      </c>
      <c r="T5" s="54">
        <f>_xll.SNL.Clients.Office.Excel.Functions.SPG($A$3, "iq_ebt_excl", "FQ0", C5)/1000</f>
        <v>102.50700000000001</v>
      </c>
      <c r="U5" s="53">
        <f>T5-J5</f>
        <v>-0.14799999999999613</v>
      </c>
      <c r="V5" s="25">
        <f>T5*1000000/I5</f>
        <v>0.2618971180118807</v>
      </c>
      <c r="W5" s="26">
        <f>V5/L5</f>
        <v>0.84482941294155067</v>
      </c>
    </row>
    <row r="6" spans="1:23" x14ac:dyDescent="0.25">
      <c r="A6" s="6" t="s">
        <v>24</v>
      </c>
      <c r="B6" s="7" t="s">
        <v>25</v>
      </c>
      <c r="C6" s="7" t="s">
        <v>123</v>
      </c>
      <c r="D6" s="3"/>
      <c r="E6" s="4"/>
      <c r="F6" s="13">
        <v>14.9</v>
      </c>
      <c r="G6" s="14">
        <v>5842.2640000000001</v>
      </c>
      <c r="H6" s="51">
        <f>_xll.SNL.Clients.Office.Excel.Functions.SPG($A$3, "IQ_Total_debt","FQ0",B6)</f>
        <v>5545891</v>
      </c>
      <c r="I6" s="60">
        <f>_xll.SNL.Clients.Office.Excel.Functions.SPG($A$3, "sp_shares_out",$B6)</f>
        <v>391401787</v>
      </c>
      <c r="J6" s="80">
        <v>119.129</v>
      </c>
      <c r="K6" s="25">
        <f>(J6*1000000)/I6</f>
        <v>0.30436498748024365</v>
      </c>
      <c r="L6" s="79">
        <f>_xll.SNL.Clients.Office.Excel.Functions.SPG($A$3, "IQ_Common_div_declared", "FQ0", $B6)</f>
        <v>0.31</v>
      </c>
      <c r="M6" s="26">
        <f>K6/L6</f>
        <v>0.98182254025885052</v>
      </c>
      <c r="N6" s="10"/>
      <c r="O6" s="16">
        <v>6.0000000000000001E-3</v>
      </c>
      <c r="P6" s="10"/>
      <c r="Q6" s="14">
        <v>11877.295</v>
      </c>
      <c r="R6" s="14">
        <v>11906.871999999999</v>
      </c>
      <c r="S6" s="8">
        <f>IF(R6&gt;0,R6/Q6,"")</f>
        <v>1.0024902134703229</v>
      </c>
      <c r="T6" s="54">
        <f>_xll.SNL.Clients.Office.Excel.Functions.SPG($A$3, "iq_ebt_excl", "FQ0", C6)/1000</f>
        <v>118.87</v>
      </c>
      <c r="U6" s="53">
        <f>T6-J6</f>
        <v>-0.25900000000000034</v>
      </c>
      <c r="V6" s="25">
        <f>T6*1000000/I6</f>
        <v>0.30370326336808473</v>
      </c>
      <c r="W6" s="26">
        <f>V6/L6</f>
        <v>0.97968794634866041</v>
      </c>
    </row>
    <row r="7" spans="1:23" x14ac:dyDescent="0.25">
      <c r="A7" s="1" t="s">
        <v>27</v>
      </c>
      <c r="B7" s="2" t="s">
        <v>28</v>
      </c>
      <c r="C7" s="2" t="s">
        <v>124</v>
      </c>
      <c r="D7" s="3"/>
      <c r="E7" s="4"/>
      <c r="F7" s="11">
        <v>14.95</v>
      </c>
      <c r="G7" s="12">
        <v>5876.9920000000002</v>
      </c>
      <c r="H7" s="51">
        <f>_xll.SNL.Clients.Office.Excel.Functions.SPG($A$3, "IQ_Total_debt","FQ0",B7)</f>
        <v>6383737</v>
      </c>
      <c r="I7" s="60">
        <f>_xll.SNL.Clients.Office.Excel.Functions.SPG($A$3, "sp_shares_out",$B7)</f>
        <v>392217490</v>
      </c>
      <c r="J7" s="78">
        <v>130.499</v>
      </c>
      <c r="K7" s="25">
        <f>(J7*1000000)/I7</f>
        <v>0.33272101149798294</v>
      </c>
      <c r="L7" s="79">
        <f>_xll.SNL.Clients.Office.Excel.Functions.SPG($A$3, "IQ_Common_div_declared", "FQ0", $B7)</f>
        <v>0.31</v>
      </c>
      <c r="M7" s="26">
        <f>K7/L7</f>
        <v>1.0732935854773644</v>
      </c>
      <c r="N7" s="9"/>
      <c r="O7" s="15">
        <v>6.0000000000000001E-3</v>
      </c>
      <c r="P7" s="9"/>
      <c r="Q7" s="12">
        <v>12074.901</v>
      </c>
      <c r="R7" s="12">
        <v>12110.098</v>
      </c>
      <c r="S7" s="5">
        <f>IF(R7&gt;0,R7/Q7,"")</f>
        <v>1.0029148893229021</v>
      </c>
      <c r="T7" s="54">
        <f>_xll.SNL.Clients.Office.Excel.Functions.SPG($A$3, "iq_ebt_excl", "FQ0", C7)/1000</f>
        <v>131.43600000000001</v>
      </c>
      <c r="U7" s="53">
        <f>T7-J7</f>
        <v>0.93700000000001182</v>
      </c>
      <c r="V7" s="25">
        <f>T7*1000000/I7</f>
        <v>0.33510999216276666</v>
      </c>
      <c r="W7" s="26">
        <f>V7/L7</f>
        <v>1.0809999747186021</v>
      </c>
    </row>
    <row r="8" spans="1:23" x14ac:dyDescent="0.25">
      <c r="A8" s="6" t="s">
        <v>30</v>
      </c>
      <c r="B8" s="7" t="s">
        <v>31</v>
      </c>
      <c r="C8" s="7" t="s">
        <v>125</v>
      </c>
      <c r="D8" s="3"/>
      <c r="E8" s="4"/>
      <c r="F8" s="13">
        <v>15.08</v>
      </c>
      <c r="G8" s="14">
        <v>5937.8770000000004</v>
      </c>
      <c r="H8" s="51">
        <f>_xll.SNL.Clients.Office.Excel.Functions.SPG($A$3, "IQ_Total_debt","FQ0",B8)</f>
        <v>6934942</v>
      </c>
      <c r="I8" s="60">
        <f>_xll.SNL.Clients.Office.Excel.Functions.SPG($A$3, "sp_shares_out",$B8)</f>
        <v>393152554</v>
      </c>
      <c r="J8" s="80">
        <v>137.85400000000001</v>
      </c>
      <c r="K8" s="25">
        <f>(J8*1000000)/I8</f>
        <v>0.3506374271194484</v>
      </c>
      <c r="L8" s="79">
        <f>_xll.SNL.Clients.Office.Excel.Functions.SPG($A$3, "IQ_Common_div_declared", "FQ0", $B8)</f>
        <v>0.31</v>
      </c>
      <c r="M8" s="26">
        <f>K8/L8</f>
        <v>1.1310884745788659</v>
      </c>
      <c r="N8" s="10"/>
      <c r="O8" s="16">
        <v>2E-3</v>
      </c>
      <c r="P8" s="10"/>
      <c r="Q8" s="14">
        <v>12648.553</v>
      </c>
      <c r="R8" s="14">
        <v>12741.64</v>
      </c>
      <c r="S8" s="8">
        <f>IF(R8&gt;0,R8/Q8,"")</f>
        <v>1.0073594979599643</v>
      </c>
      <c r="T8" s="54">
        <f>_xll.SNL.Clients.Office.Excel.Functions.SPG($A$3, "iq_ebt_excl", "FQ0", C8)/1000</f>
        <v>138.63300000000001</v>
      </c>
      <c r="U8" s="53">
        <f>T8-J8</f>
        <v>0.77899999999999636</v>
      </c>
      <c r="V8" s="25">
        <f>T8*1000000/I8</f>
        <v>0.35261884627105844</v>
      </c>
      <c r="W8" s="26">
        <f>V8/L8</f>
        <v>1.1374801492614788</v>
      </c>
    </row>
    <row r="9" spans="1:23" x14ac:dyDescent="0.25">
      <c r="A9" s="1" t="s">
        <v>33</v>
      </c>
      <c r="B9" s="2" t="s">
        <v>34</v>
      </c>
      <c r="C9" s="2" t="s">
        <v>126</v>
      </c>
      <c r="D9" s="3"/>
      <c r="E9" s="4"/>
      <c r="F9" s="11">
        <v>14.88</v>
      </c>
      <c r="G9" s="12">
        <v>5871.4939999999997</v>
      </c>
      <c r="H9" s="51">
        <f>_xll.SNL.Clients.Office.Excel.Functions.SPG($A$3, "IQ_Total_debt","FQ0",B9)</f>
        <v>7079326</v>
      </c>
      <c r="I9" s="60">
        <f>_xll.SNL.Clients.Office.Excel.Functions.SPG($A$3, "sp_shares_out",$B9)</f>
        <v>394580939</v>
      </c>
      <c r="J9" s="78">
        <v>122.35599999999999</v>
      </c>
      <c r="K9" s="25">
        <f>(J9*1000000)/I9</f>
        <v>0.31009100518157567</v>
      </c>
      <c r="L9" s="79">
        <f>_xll.SNL.Clients.Office.Excel.Functions.SPG($A$3, "IQ_Common_div_declared", "FQ0", $B9)</f>
        <v>0.31</v>
      </c>
      <c r="M9" s="26">
        <f>K9/L9</f>
        <v>1.000293565101857</v>
      </c>
      <c r="N9" s="9"/>
      <c r="O9" s="15">
        <v>2E-3</v>
      </c>
      <c r="P9" s="9"/>
      <c r="Q9" s="12">
        <v>12754.584000000001</v>
      </c>
      <c r="R9" s="12">
        <v>12756.323</v>
      </c>
      <c r="S9" s="5">
        <f>IF(R9&gt;0,R9/Q9,"")</f>
        <v>1.0001363431374948</v>
      </c>
      <c r="T9" s="54">
        <f>_xll.SNL.Clients.Office.Excel.Functions.SPG($A$3, "iq_ebt_excl", "FQ0", C9)/1000</f>
        <v>121.798</v>
      </c>
      <c r="U9" s="53">
        <f>T9-J9</f>
        <v>-0.55799999999999272</v>
      </c>
      <c r="V9" s="25">
        <f>T9*1000000/I9</f>
        <v>0.30867684665325407</v>
      </c>
      <c r="W9" s="26">
        <f>V9/L9</f>
        <v>0.99573176339759373</v>
      </c>
    </row>
    <row r="10" spans="1:23" x14ac:dyDescent="0.25">
      <c r="A10" s="6" t="s">
        <v>36</v>
      </c>
      <c r="B10" s="7" t="s">
        <v>37</v>
      </c>
      <c r="C10" s="7" t="s">
        <v>127</v>
      </c>
      <c r="D10" s="3"/>
      <c r="E10" s="4"/>
      <c r="F10" s="13">
        <v>14.48</v>
      </c>
      <c r="G10" s="14">
        <v>5704.4459999999999</v>
      </c>
      <c r="H10" s="51">
        <f>_xll.SNL.Clients.Office.Excel.Functions.SPG($A$3, "IQ_Total_debt","FQ0",B10)</f>
        <v>7034218</v>
      </c>
      <c r="I10" s="60">
        <f>_xll.SNL.Clients.Office.Excel.Functions.SPG($A$3, "sp_shares_out",$B10)</f>
        <v>395395023</v>
      </c>
      <c r="J10" s="80">
        <v>125.124</v>
      </c>
      <c r="K10" s="25">
        <f>(J10*1000000)/I10</f>
        <v>0.31645314867810059</v>
      </c>
      <c r="L10" s="79">
        <f>_xll.SNL.Clients.Office.Excel.Functions.SPG($A$3, "IQ_Common_div_declared", "FQ0", $B10)</f>
        <v>0.31</v>
      </c>
      <c r="M10" s="26">
        <f>K10/L10</f>
        <v>1.0208166086390342</v>
      </c>
      <c r="N10" s="10"/>
      <c r="O10" s="16">
        <v>2E-3</v>
      </c>
      <c r="P10" s="10"/>
      <c r="Q10" s="14">
        <v>12836.641</v>
      </c>
      <c r="R10" s="14">
        <v>12648.126</v>
      </c>
      <c r="S10" s="8">
        <f>IF(R10&gt;0,R10/Q10,"")</f>
        <v>0.98531430457547275</v>
      </c>
      <c r="T10" s="54">
        <f>_xll.SNL.Clients.Office.Excel.Functions.SPG($A$3, "iq_ebt_excl", "FQ0", C10)/1000</f>
        <v>123.292</v>
      </c>
      <c r="U10" s="53">
        <f>T10-J10</f>
        <v>-1.8319999999999936</v>
      </c>
      <c r="V10" s="25">
        <f>T10*1000000/I10</f>
        <v>0.31181980760541844</v>
      </c>
      <c r="W10" s="26">
        <f>V10/L10</f>
        <v>1.0058703471142529</v>
      </c>
    </row>
    <row r="11" spans="1:23" x14ac:dyDescent="0.25">
      <c r="A11" s="1" t="s">
        <v>39</v>
      </c>
      <c r="B11" s="2" t="s">
        <v>40</v>
      </c>
      <c r="C11" s="2" t="s">
        <v>128</v>
      </c>
      <c r="D11" s="3"/>
      <c r="E11" s="4"/>
      <c r="F11" s="11">
        <v>14.85</v>
      </c>
      <c r="G11" s="12">
        <v>5847.7879999999996</v>
      </c>
      <c r="H11" s="51">
        <f>_xll.SNL.Clients.Office.Excel.Functions.SPG($A$3, "IQ_Total_debt","FQ0",B11)</f>
        <v>7053497</v>
      </c>
      <c r="I11" s="60">
        <f>_xll.SNL.Clients.Office.Excel.Functions.SPG($A$3, "sp_shares_out",$B11)</f>
        <v>393823013</v>
      </c>
      <c r="J11" s="78">
        <v>146.774</v>
      </c>
      <c r="K11" s="25">
        <f>(J11*1000000)/I11</f>
        <v>0.37269025718413262</v>
      </c>
      <c r="L11" s="79">
        <f>_xll.SNL.Clients.Office.Excel.Functions.SPG($A$3, "IQ_Common_div_declared", "FQ0", $B11)</f>
        <v>0.31</v>
      </c>
      <c r="M11" s="26">
        <f>K11/L11</f>
        <v>1.2022266360778471</v>
      </c>
      <c r="N11" s="9"/>
      <c r="O11" s="15">
        <v>0.01</v>
      </c>
      <c r="P11" s="9"/>
      <c r="Q11" s="12">
        <v>12931.859</v>
      </c>
      <c r="R11" s="12">
        <v>12835.918</v>
      </c>
      <c r="S11" s="5">
        <f>IF(R11&gt;0,R11/Q11,"")</f>
        <v>0.99258103571961298</v>
      </c>
      <c r="T11" s="54">
        <f>_xll.SNL.Clients.Office.Excel.Functions.SPG($A$3, "iq_ebt_excl", "FQ0", C11)/1000</f>
        <v>144.43600000000001</v>
      </c>
      <c r="U11" s="53">
        <f>T11-J11</f>
        <v>-2.3379999999999939</v>
      </c>
      <c r="V11" s="25">
        <f>T11*1000000/I11</f>
        <v>0.36675358024341764</v>
      </c>
      <c r="W11" s="26">
        <f>V11/L11</f>
        <v>1.1830760653013472</v>
      </c>
    </row>
    <row r="12" spans="1:23" x14ac:dyDescent="0.25">
      <c r="A12" s="6" t="s">
        <v>42</v>
      </c>
      <c r="B12" s="7" t="s">
        <v>43</v>
      </c>
      <c r="C12" s="7" t="s">
        <v>129</v>
      </c>
      <c r="D12" s="3"/>
      <c r="E12" s="4"/>
      <c r="F12" s="13">
        <v>14.99</v>
      </c>
      <c r="G12" s="14">
        <v>5882.4030000000002</v>
      </c>
      <c r="H12" s="51">
        <f>_xll.SNL.Clients.Office.Excel.Functions.SPG($A$3, "IQ_Total_debt","FQ0",B12)</f>
        <v>7196154</v>
      </c>
      <c r="I12" s="60">
        <f>_xll.SNL.Clients.Office.Excel.Functions.SPG($A$3, "sp_shares_out",$B12)</f>
        <v>393823013</v>
      </c>
      <c r="J12" s="80">
        <v>162.464</v>
      </c>
      <c r="K12" s="25">
        <f>(J12*1000000)/I12</f>
        <v>0.4125304886639522</v>
      </c>
      <c r="L12" s="79">
        <f>_xll.SNL.Clients.Office.Excel.Functions.SPG($A$3, "IQ_Common_div_declared", "FQ0", $B12)</f>
        <v>0.31</v>
      </c>
      <c r="M12" s="26">
        <f>K12/L12</f>
        <v>1.3307435118192006</v>
      </c>
      <c r="N12" s="10"/>
      <c r="O12" s="16">
        <v>1.9E-2</v>
      </c>
      <c r="P12" s="10"/>
      <c r="Q12" s="14">
        <v>13046.132</v>
      </c>
      <c r="R12" s="14">
        <v>13010.344999999999</v>
      </c>
      <c r="S12" s="8">
        <f>IF(R12&gt;0,R12/Q12,"")</f>
        <v>0.9972568880952607</v>
      </c>
      <c r="T12" s="54">
        <f>_xll.SNL.Clients.Office.Excel.Functions.SPG($A$3, "iq_ebt_excl", "FQ0", C12)/1000</f>
        <v>169.86199999999999</v>
      </c>
      <c r="U12" s="53">
        <f>T12-J12</f>
        <v>7.3979999999999961</v>
      </c>
      <c r="V12" s="25">
        <f>T12*1000000/I12</f>
        <v>0.43131557677661664</v>
      </c>
      <c r="W12" s="26">
        <f>V12/L12</f>
        <v>1.3913405702471504</v>
      </c>
    </row>
    <row r="13" spans="1:23" x14ac:dyDescent="0.25">
      <c r="A13" s="1" t="s">
        <v>45</v>
      </c>
      <c r="B13" s="2" t="s">
        <v>46</v>
      </c>
      <c r="C13" s="2" t="s">
        <v>90</v>
      </c>
      <c r="D13" s="3"/>
      <c r="E13" s="4"/>
      <c r="F13" s="11">
        <v>15.15</v>
      </c>
      <c r="G13" s="12">
        <v>5917.37</v>
      </c>
      <c r="H13" s="51">
        <f>_xll.SNL.Clients.Office.Excel.Functions.SPG($A$3, "IQ_Total_debt","FQ0",B13)</f>
        <v>7281744</v>
      </c>
      <c r="I13" s="60">
        <f>_xll.SNL.Clients.Office.Excel.Functions.SPG($A$3, "sp_shares_out",$B13)</f>
        <v>390921161</v>
      </c>
      <c r="J13" s="78">
        <v>177.85900000000001</v>
      </c>
      <c r="K13" s="25">
        <f>(J13*1000000)/I13</f>
        <v>0.45497409131044714</v>
      </c>
      <c r="L13" s="79">
        <f>_xll.SNL.Clients.Office.Excel.Functions.SPG($A$3, "IQ_Common_div_declared", "FQ0", $B13)</f>
        <v>0.33</v>
      </c>
      <c r="M13" s="26">
        <f>K13/L13</f>
        <v>1.3787093676074156</v>
      </c>
      <c r="N13" s="9"/>
      <c r="O13" s="15">
        <v>5.0000000000000001E-3</v>
      </c>
      <c r="P13" s="9"/>
      <c r="Q13" s="12">
        <v>13107.165999999999</v>
      </c>
      <c r="R13" s="12">
        <v>13157.251</v>
      </c>
      <c r="S13" s="5">
        <f>IF(R13&gt;0,R13/Q13,"")</f>
        <v>1.0038211921631268</v>
      </c>
      <c r="T13" s="54">
        <f>_xll.SNL.Clients.Office.Excel.Functions.SPG($A$3, "iq_ebt_excl", "FQ0", C13)/1000</f>
        <v>182.315</v>
      </c>
      <c r="U13" s="53">
        <f>T13-J13</f>
        <v>4.4559999999999889</v>
      </c>
      <c r="V13" s="25">
        <f>T13*1000000/I13</f>
        <v>0.46637280911994428</v>
      </c>
      <c r="W13" s="26">
        <f>V13/L13</f>
        <v>1.4132509367271038</v>
      </c>
    </row>
    <row r="14" spans="1:23" x14ac:dyDescent="0.25">
      <c r="A14" s="6" t="s">
        <v>48</v>
      </c>
      <c r="B14" s="7" t="s">
        <v>49</v>
      </c>
      <c r="C14" s="7" t="s">
        <v>91</v>
      </c>
      <c r="D14" s="3"/>
      <c r="E14" s="4"/>
      <c r="F14" s="13">
        <v>15.26</v>
      </c>
      <c r="G14" s="14">
        <v>5948.9639999999999</v>
      </c>
      <c r="H14" s="51">
        <f>_xll.SNL.Clients.Office.Excel.Functions.SPG($A$3, "IQ_Total_debt","FQ0",B14)</f>
        <v>7383214</v>
      </c>
      <c r="I14" s="60">
        <f>_xll.SNL.Clients.Office.Excel.Functions.SPG($A$3, "sp_shares_out",$B14)</f>
        <v>389798180</v>
      </c>
      <c r="J14" s="80">
        <v>186.67599999999999</v>
      </c>
      <c r="K14" s="25">
        <f>(J14*1000000)/I14</f>
        <v>0.47890423705929053</v>
      </c>
      <c r="L14" s="79">
        <f>_xll.SNL.Clients.Office.Excel.Functions.SPG($A$3, "IQ_Common_div_declared", "FQ0", $B14)</f>
        <v>0.33</v>
      </c>
      <c r="M14" s="26">
        <f>K14/L14</f>
        <v>1.4512249607857288</v>
      </c>
      <c r="N14" s="10"/>
      <c r="O14" s="16">
        <v>1.0999999999999999E-2</v>
      </c>
      <c r="P14" s="10"/>
      <c r="Q14" s="14">
        <v>12823.971</v>
      </c>
      <c r="R14" s="14">
        <v>12892.942999999999</v>
      </c>
      <c r="S14" s="8">
        <f>IF(R14&gt;0,R14/Q14,"")</f>
        <v>1.0053783652505139</v>
      </c>
      <c r="T14" s="54">
        <f>_xll.SNL.Clients.Office.Excel.Functions.SPG($A$3, "iq_ebt_excl", "FQ0", C14)/1000</f>
        <v>190.24700000000001</v>
      </c>
      <c r="U14" s="53">
        <f>T14-J14</f>
        <v>3.5710000000000264</v>
      </c>
      <c r="V14" s="25">
        <f>T14*1000000/I14</f>
        <v>0.48806538809391053</v>
      </c>
      <c r="W14" s="26">
        <f>V14/L14</f>
        <v>1.4789860245270015</v>
      </c>
    </row>
    <row r="15" spans="1:23" x14ac:dyDescent="0.25">
      <c r="A15" s="1" t="s">
        <v>51</v>
      </c>
      <c r="B15" s="2" t="s">
        <v>52</v>
      </c>
      <c r="C15" s="2" t="s">
        <v>92</v>
      </c>
      <c r="D15" s="3"/>
      <c r="E15" s="4"/>
      <c r="F15" s="11">
        <v>15.4</v>
      </c>
      <c r="G15" s="12">
        <v>6000.009</v>
      </c>
      <c r="H15" s="51">
        <f>_xll.SNL.Clients.Office.Excel.Functions.SPG($A$3, "IQ_Total_debt","FQ0",B15)</f>
        <v>7027176</v>
      </c>
      <c r="I15" s="60">
        <f>_xll.SNL.Clients.Office.Excel.Functions.SPG($A$3, "sp_shares_out",$B15)</f>
        <v>389732868</v>
      </c>
      <c r="J15" s="78">
        <v>190.053</v>
      </c>
      <c r="K15" s="25">
        <f>(J15*1000000)/I15</f>
        <v>0.48764940194882411</v>
      </c>
      <c r="L15" s="79">
        <f>_xll.SNL.Clients.Office.Excel.Functions.SPG($A$3, "IQ_Common_div_declared", "FQ0", $B15)</f>
        <v>0.33</v>
      </c>
      <c r="M15" s="26">
        <f>K15/L15</f>
        <v>1.4777254604509822</v>
      </c>
      <c r="N15" s="9"/>
      <c r="O15" s="15">
        <v>1.0999999999999999E-2</v>
      </c>
      <c r="P15" s="9"/>
      <c r="Q15" s="12">
        <v>12822.870999999999</v>
      </c>
      <c r="R15" s="12">
        <v>12896.157999999999</v>
      </c>
      <c r="S15" s="5">
        <f>IF(R15&gt;0,R15/Q15,"")</f>
        <v>1.0057153347327599</v>
      </c>
      <c r="T15" s="54">
        <f>_xll.SNL.Clients.Office.Excel.Functions.SPG($A$3, "iq_ebt_excl", "FQ0", C15)/1000</f>
        <v>190.15199999999999</v>
      </c>
      <c r="U15" s="53">
        <f>T15-J15</f>
        <v>9.8999999999989541E-2</v>
      </c>
      <c r="V15" s="25">
        <f>T15*1000000/I15</f>
        <v>0.48790342209474619</v>
      </c>
      <c r="W15" s="26">
        <f>V15/L15</f>
        <v>1.4784952184689277</v>
      </c>
    </row>
    <row r="16" spans="1:23" x14ac:dyDescent="0.25">
      <c r="A16" s="6" t="s">
        <v>54</v>
      </c>
      <c r="B16" s="7" t="s">
        <v>55</v>
      </c>
      <c r="C16" s="7" t="s">
        <v>130</v>
      </c>
      <c r="D16" s="3"/>
      <c r="E16" s="4"/>
      <c r="F16" s="13">
        <v>15.45</v>
      </c>
      <c r="G16" s="14">
        <v>6021.393</v>
      </c>
      <c r="H16" s="51">
        <f>_xll.SNL.Clients.Office.Excel.Functions.SPG($A$3, "IQ_Total_debt","FQ0",B16)</f>
        <v>7062399</v>
      </c>
      <c r="I16" s="60">
        <f>_xll.SNL.Clients.Office.Excel.Functions.SPG($A$3, "sp_shares_out",$B16)</f>
        <v>389732868</v>
      </c>
      <c r="J16" s="80">
        <v>199.023</v>
      </c>
      <c r="K16" s="25">
        <f>(J16*1000000)/I16</f>
        <v>0.51066516668540263</v>
      </c>
      <c r="L16" s="79">
        <f>_xll.SNL.Clients.Office.Excel.Functions.SPG($A$3, "IQ_Common_div_declared", "FQ0", $B16)</f>
        <v>0.33</v>
      </c>
      <c r="M16" s="26">
        <f>K16/L16</f>
        <v>1.5474702020769775</v>
      </c>
      <c r="N16" s="10"/>
      <c r="O16" s="16">
        <v>1.2999999999999999E-2</v>
      </c>
      <c r="P16" s="10"/>
      <c r="Q16" s="14">
        <v>12632.201999999999</v>
      </c>
      <c r="R16" s="14">
        <v>12713.348</v>
      </c>
      <c r="S16" s="8">
        <f>IF(R16&gt;0,R16/Q16,"")</f>
        <v>1.0064237414822848</v>
      </c>
      <c r="T16" s="54">
        <f>_xll.SNL.Clients.Office.Excel.Functions.SPG($A$3, "iq_ebt_excl", "FQ0", C16)/1000</f>
        <v>208.22</v>
      </c>
      <c r="U16" s="53">
        <f>T16-J16</f>
        <v>9.1970000000000027</v>
      </c>
      <c r="V16" s="25">
        <f>T16*1000000/I16</f>
        <v>0.53426338165556009</v>
      </c>
      <c r="W16" s="26">
        <f>V16/L16</f>
        <v>1.618979944410788</v>
      </c>
    </row>
    <row r="17" spans="1:23" x14ac:dyDescent="0.25">
      <c r="A17" s="1" t="s">
        <v>57</v>
      </c>
      <c r="B17" s="2" t="s">
        <v>58</v>
      </c>
      <c r="C17" s="2" t="s">
        <v>94</v>
      </c>
      <c r="D17" s="3"/>
      <c r="E17" s="4"/>
      <c r="F17" s="11">
        <v>15.47</v>
      </c>
      <c r="G17" s="12">
        <v>6028.53</v>
      </c>
      <c r="H17" s="51">
        <f>_xll.SNL.Clients.Office.Excel.Functions.SPG($A$3, "IQ_Total_debt","FQ0",B17)</f>
        <v>7077088</v>
      </c>
      <c r="I17" s="60">
        <f>_xll.SNL.Clients.Office.Excel.Functions.SPG($A$3, "sp_shares_out",$B17)</f>
        <v>389732868</v>
      </c>
      <c r="J17" s="78">
        <v>182.76499999999999</v>
      </c>
      <c r="K17" s="25">
        <f>(J17*1000000)/I17</f>
        <v>0.46894941383286154</v>
      </c>
      <c r="L17" s="79">
        <f>_xll.SNL.Clients.Office.Excel.Functions.SPG($A$3, "IQ_Common_div_declared", "FQ0", $B17)</f>
        <v>0.35</v>
      </c>
      <c r="M17" s="26">
        <f>K17/L17</f>
        <v>1.3398554680938901</v>
      </c>
      <c r="N17" s="9"/>
      <c r="O17" s="15">
        <v>2.5000000000000001E-2</v>
      </c>
      <c r="P17" s="9"/>
      <c r="Q17" s="12">
        <v>12328.887000000001</v>
      </c>
      <c r="R17" s="12">
        <v>12414.384</v>
      </c>
      <c r="S17" s="5">
        <f>IF(R17&gt;0,R17/Q17,"")</f>
        <v>1.0069346892383715</v>
      </c>
      <c r="T17" s="54">
        <f>_xll.SNL.Clients.Office.Excel.Functions.SPG($A$3, "iq_ebt_excl", "FQ0", C17)/1000</f>
        <v>184.35900000000001</v>
      </c>
      <c r="U17" s="53">
        <f>T17-J17</f>
        <v>1.5940000000000225</v>
      </c>
      <c r="V17" s="25">
        <f>T17*1000000/I17</f>
        <v>0.47303939476821338</v>
      </c>
      <c r="W17" s="26">
        <f>V17/L17</f>
        <v>1.3515411279091811</v>
      </c>
    </row>
    <row r="18" spans="1:23" x14ac:dyDescent="0.25">
      <c r="A18" s="6" t="s">
        <v>60</v>
      </c>
      <c r="B18" s="7" t="s">
        <v>61</v>
      </c>
      <c r="C18" s="7" t="s">
        <v>95</v>
      </c>
      <c r="D18" s="3"/>
      <c r="E18" s="4"/>
      <c r="F18" s="13">
        <v>15.36</v>
      </c>
      <c r="G18" s="14">
        <v>5994.2839999999997</v>
      </c>
      <c r="H18" s="51">
        <f>_xll.SNL.Clients.Office.Excel.Functions.SPG($A$3, "IQ_Total_debt","FQ0",B18)</f>
        <v>6885675</v>
      </c>
      <c r="I18" s="60">
        <f>_xll.SNL.Clients.Office.Excel.Functions.SPG($A$3, "sp_shares_out",$B18)</f>
        <v>390217304</v>
      </c>
      <c r="J18" s="80">
        <v>189.13399999999999</v>
      </c>
      <c r="K18" s="25">
        <f>(J18*1000000)/I18</f>
        <v>0.48468891066911785</v>
      </c>
      <c r="L18" s="79">
        <f>_xll.SNL.Clients.Office.Excel.Functions.SPG($A$3, "IQ_Common_div_declared", "FQ0", $B18)</f>
        <v>0.37</v>
      </c>
      <c r="M18" s="26">
        <f>K18/L18</f>
        <v>1.3099700288354537</v>
      </c>
      <c r="N18" s="10"/>
      <c r="O18" s="16">
        <v>3.1E-2</v>
      </c>
      <c r="P18" s="10"/>
      <c r="Q18" s="14">
        <v>13314.048000000001</v>
      </c>
      <c r="R18" s="14">
        <v>13341.982</v>
      </c>
      <c r="S18" s="8">
        <f>IF(R18&gt;0,R18/Q18,"")</f>
        <v>1.0020980846696661</v>
      </c>
      <c r="T18" s="54">
        <f>_xll.SNL.Clients.Office.Excel.Functions.SPG($A$3, "iq_ebt_excl", "FQ0", C18)/1000</f>
        <v>196.55799999999999</v>
      </c>
      <c r="U18" s="53">
        <f>T18-J18</f>
        <v>7.4240000000000066</v>
      </c>
      <c r="V18" s="25">
        <f>T18*1000000/I18</f>
        <v>0.50371420740480544</v>
      </c>
      <c r="W18" s="26">
        <f>V18/L18</f>
        <v>1.3613897497427174</v>
      </c>
    </row>
    <row r="19" spans="1:23" x14ac:dyDescent="0.25">
      <c r="A19" s="1" t="s">
        <v>63</v>
      </c>
      <c r="B19" s="2" t="s">
        <v>64</v>
      </c>
      <c r="C19" s="2" t="s">
        <v>131</v>
      </c>
      <c r="D19" s="3"/>
      <c r="E19" s="4"/>
      <c r="F19" s="11">
        <v>15.28</v>
      </c>
      <c r="G19" s="12">
        <v>5961.8490000000002</v>
      </c>
      <c r="H19" s="51">
        <f>_xll.SNL.Clients.Office.Excel.Functions.SPG($A$3, "IQ_Total_debt","FQ0",B19)</f>
        <v>7414920</v>
      </c>
      <c r="I19" s="60">
        <f>_xll.SNL.Clients.Office.Excel.Functions.SPG($A$3, "sp_shares_out",$B19)</f>
        <v>390217304</v>
      </c>
      <c r="J19" s="78">
        <v>184.91200000000001</v>
      </c>
      <c r="K19" s="25">
        <f>(J19*1000000)/I19</f>
        <v>0.47386929822056278</v>
      </c>
      <c r="L19" s="79">
        <f>_xll.SNL.Clients.Office.Excel.Functions.SPG($A$3, "IQ_Common_div_declared", "FQ0", $B19)</f>
        <v>0.37</v>
      </c>
      <c r="M19" s="26">
        <f>K19/L19</f>
        <v>1.2807278330285481</v>
      </c>
      <c r="N19" s="9"/>
      <c r="O19" s="15">
        <v>2.1000000000000001E-2</v>
      </c>
      <c r="P19" s="9"/>
      <c r="Q19" s="12">
        <v>13400.39</v>
      </c>
      <c r="R19" s="12">
        <v>13447.536</v>
      </c>
      <c r="S19" s="5">
        <f>IF(R19&gt;0,R19/Q19,"")</f>
        <v>1.0035182558119577</v>
      </c>
      <c r="T19" s="54">
        <f>_xll.SNL.Clients.Office.Excel.Functions.SPG($A$3, "iq_ebt_excl", "FQ0", C19)/1000</f>
        <v>186.18600000000001</v>
      </c>
      <c r="U19" s="53">
        <f>T19-J19</f>
        <v>1.2740000000000009</v>
      </c>
      <c r="V19" s="25">
        <f>T19*1000000/I19</f>
        <v>0.47713414574767293</v>
      </c>
      <c r="W19" s="26">
        <f>V19/L19</f>
        <v>1.2895517452639809</v>
      </c>
    </row>
    <row r="20" spans="1:23" x14ac:dyDescent="0.25">
      <c r="A20" s="6" t="s">
        <v>66</v>
      </c>
      <c r="B20" s="7" t="s">
        <v>67</v>
      </c>
      <c r="C20" s="7" t="s">
        <v>132</v>
      </c>
      <c r="D20" s="3"/>
      <c r="E20" s="4"/>
      <c r="F20" s="13">
        <v>15.26</v>
      </c>
      <c r="G20" s="14">
        <v>5952.8410000000003</v>
      </c>
      <c r="H20" s="51">
        <f>_xll.SNL.Clients.Office.Excel.Functions.SPG($A$3, "IQ_Total_debt","FQ0",B20)</f>
        <v>7741075</v>
      </c>
      <c r="I20" s="60">
        <f>_xll.SNL.Clients.Office.Excel.Functions.SPG($A$3, "sp_shares_out",$B20)</f>
        <v>390217304</v>
      </c>
      <c r="J20" s="80">
        <v>184.24600000000001</v>
      </c>
      <c r="K20" s="25">
        <f>(J20*1000000)/I20</f>
        <v>0.47216255689163389</v>
      </c>
      <c r="L20" s="79">
        <f>_xll.SNL.Clients.Office.Excel.Functions.SPG($A$3, "IQ_Common_div_declared", "FQ0", $B20)</f>
        <v>0.37</v>
      </c>
      <c r="M20" s="26">
        <f>K20/L20</f>
        <v>1.2761150186260375</v>
      </c>
      <c r="N20" s="10"/>
      <c r="O20" s="16">
        <v>2.1999999999999999E-2</v>
      </c>
      <c r="P20" s="10"/>
      <c r="Q20" s="14">
        <v>13169.39</v>
      </c>
      <c r="R20" s="14">
        <v>13194.545</v>
      </c>
      <c r="S20" s="8">
        <f>IF(R20&gt;0,R20/Q20,"")</f>
        <v>1.0019101112504072</v>
      </c>
      <c r="T20" s="54">
        <f>_xll.SNL.Clients.Office.Excel.Functions.SPG($A$3, "iq_ebt_excl", "FQ0", C20)/1000</f>
        <v>175.048</v>
      </c>
      <c r="U20" s="53">
        <f>T20-J20</f>
        <v>-9.1980000000000075</v>
      </c>
      <c r="V20" s="25">
        <f>T20*1000000/I20</f>
        <v>0.44859107529480546</v>
      </c>
      <c r="W20" s="26">
        <f>V20/L20</f>
        <v>1.2124083116075823</v>
      </c>
    </row>
    <row r="21" spans="1:23" x14ac:dyDescent="0.25">
      <c r="A21" s="1" t="s">
        <v>69</v>
      </c>
      <c r="B21" s="2" t="s">
        <v>70</v>
      </c>
      <c r="C21" s="2" t="s">
        <v>98</v>
      </c>
      <c r="D21" s="3"/>
      <c r="E21" s="4"/>
      <c r="F21" s="11">
        <v>15.14</v>
      </c>
      <c r="G21" s="12">
        <v>7739.0889999999999</v>
      </c>
      <c r="H21" s="51">
        <f>_xll.SNL.Clients.Office.Excel.Functions.SPG($A$3, "IQ_Total_debt","FQ0",B21)</f>
        <v>7457702</v>
      </c>
      <c r="I21" s="60">
        <f>_xll.SNL.Clients.Office.Excel.Functions.SPG($A$3, "sp_shares_out",$B21)</f>
        <v>510847634</v>
      </c>
      <c r="J21" s="17">
        <v>201.30199999999999</v>
      </c>
      <c r="K21" s="25">
        <f>(J21*1000000)/I21</f>
        <v>0.39405487390394767</v>
      </c>
      <c r="L21" s="79">
        <f>_xll.SNL.Clients.Office.Excel.Functions.SPG($A$3, "IQ_Common_div_declared", "FQ0", $B21)</f>
        <v>0.37</v>
      </c>
      <c r="M21" s="26">
        <f>K21/L21</f>
        <v>1.065013172713372</v>
      </c>
      <c r="N21" s="9"/>
      <c r="O21" s="15">
        <v>1.6E-2</v>
      </c>
      <c r="P21" s="9"/>
      <c r="Q21" s="12">
        <v>17457.766</v>
      </c>
      <c r="R21" s="12">
        <v>17692.006000000001</v>
      </c>
      <c r="S21" s="5">
        <f>IF(R21&gt;0,R21/Q21,"")</f>
        <v>1.0134175243269958</v>
      </c>
      <c r="T21" s="54">
        <f>_xll.SNL.Clients.Office.Excel.Functions.SPG($A$3, "iq_ebt_excl", "FQ0", C21)/1000</f>
        <v>207.441</v>
      </c>
      <c r="U21" s="53">
        <f>T21-J21</f>
        <v>6.13900000000001</v>
      </c>
      <c r="V21" s="25">
        <f>T21*1000000/I21</f>
        <v>0.40607215575358818</v>
      </c>
      <c r="W21" s="26">
        <f>V21/L21</f>
        <v>1.0974923128475356</v>
      </c>
    </row>
    <row r="22" spans="1:23" x14ac:dyDescent="0.25">
      <c r="A22" s="6" t="s">
        <v>72</v>
      </c>
      <c r="B22" s="7" t="s">
        <v>73</v>
      </c>
      <c r="C22" s="7" t="s">
        <v>99</v>
      </c>
      <c r="D22" s="3"/>
      <c r="E22" s="4"/>
      <c r="F22" s="13">
        <v>15.03</v>
      </c>
      <c r="G22" s="14">
        <v>7682.3969999999999</v>
      </c>
      <c r="H22" s="51">
        <f>_xll.SNL.Clients.Office.Excel.Functions.SPG($A$3, "IQ_Total_debt","FQ0",B22)</f>
        <v>10160729</v>
      </c>
      <c r="I22" s="60">
        <f>_xll.SNL.Clients.Office.Excel.Functions.SPG($A$3, "sp_shares_out",$B22)</f>
        <v>511048237</v>
      </c>
      <c r="J22" s="18">
        <v>216.708</v>
      </c>
      <c r="K22" s="25">
        <f>(J22*1000000)/I22</f>
        <v>0.4240460768872587</v>
      </c>
      <c r="L22" s="79">
        <f>_xll.SNL.Clients.Office.Excel.Functions.SPG($A$3, "IQ_Common_div_declared", "FQ0", $B22)</f>
        <v>0.37</v>
      </c>
      <c r="M22" s="26">
        <f>K22/L22</f>
        <v>1.1460704780736721</v>
      </c>
      <c r="N22" s="10"/>
      <c r="O22" s="16">
        <v>1.7999999999999999E-2</v>
      </c>
      <c r="P22" s="10"/>
      <c r="Q22" s="14">
        <v>16713.364000000001</v>
      </c>
      <c r="R22" s="14">
        <v>16868.781999999999</v>
      </c>
      <c r="S22" s="8">
        <f>IF(R22&gt;0,R22/Q22,"")</f>
        <v>1.0092990256180621</v>
      </c>
      <c r="T22" s="54">
        <f>_xll.SNL.Clients.Office.Excel.Functions.SPG($A$3, "iq_ebt_excl", "FQ0", C22)/1000</f>
        <v>222.136</v>
      </c>
      <c r="U22" s="53">
        <f>T22-J22</f>
        <v>5.4279999999999973</v>
      </c>
      <c r="V22" s="25">
        <f>T22*1000000/I22</f>
        <v>0.43466738346266909</v>
      </c>
      <c r="W22" s="26">
        <f>V22/L22</f>
        <v>1.1747767120612678</v>
      </c>
    </row>
    <row r="23" spans="1:23" x14ac:dyDescent="0.25">
      <c r="A23" s="1" t="s">
        <v>75</v>
      </c>
      <c r="B23" s="2" t="s">
        <v>76</v>
      </c>
      <c r="C23" s="2" t="s">
        <v>133</v>
      </c>
      <c r="D23" s="3"/>
      <c r="E23" s="4"/>
      <c r="F23" s="11">
        <v>14.89</v>
      </c>
      <c r="G23" s="12">
        <v>7611.2709999999997</v>
      </c>
      <c r="H23" s="51">
        <f>_xll.SNL.Clients.Office.Excel.Functions.SPG($A$3, "IQ_Total_debt","FQ0",B23)</f>
        <v>9225817</v>
      </c>
      <c r="I23" s="60">
        <f>_xll.SNL.Clients.Office.Excel.Functions.SPG($A$3, "sp_shares_out",$B23)</f>
        <v>511048237</v>
      </c>
      <c r="J23" s="17">
        <v>190.084</v>
      </c>
      <c r="K23" s="25">
        <f>(J23*1000000)/I23</f>
        <v>0.37194923343410341</v>
      </c>
      <c r="L23" s="79">
        <f>_xll.SNL.Clients.Office.Excel.Functions.SPG($A$3, "IQ_Common_div_declared", "FQ0", $B23)</f>
        <v>0.37</v>
      </c>
      <c r="M23" s="26">
        <f>K23/L23</f>
        <v>1.0052681984705498</v>
      </c>
      <c r="N23" s="15">
        <v>1.29E-2</v>
      </c>
      <c r="O23" s="15">
        <v>3.2000000000000001E-2</v>
      </c>
      <c r="P23" s="9"/>
      <c r="Q23" s="12">
        <v>17049.398000000001</v>
      </c>
      <c r="R23" s="12">
        <v>17136.547999999999</v>
      </c>
      <c r="S23" s="5">
        <f>IF(R23&gt;0,R23/Q23,"")</f>
        <v>1.0051116174307151</v>
      </c>
      <c r="T23" s="54">
        <f>_xll.SNL.Clients.Office.Excel.Functions.SPG($A$3, "iq_ebt_excl", "FQ0", C23)/1000</f>
        <v>197.64099999999999</v>
      </c>
      <c r="U23" s="53">
        <f>T23-J23</f>
        <v>7.5569999999999879</v>
      </c>
      <c r="V23" s="25">
        <f>T23*1000000/I23</f>
        <v>0.38673648726431276</v>
      </c>
      <c r="W23" s="26">
        <f>V23/L23</f>
        <v>1.0452337493630075</v>
      </c>
    </row>
    <row r="24" spans="1:23" x14ac:dyDescent="0.25">
      <c r="A24" s="6" t="s">
        <v>78</v>
      </c>
      <c r="B24" s="7" t="s">
        <v>79</v>
      </c>
      <c r="C24" s="7" t="s">
        <v>134</v>
      </c>
      <c r="D24" s="3"/>
      <c r="E24" s="4"/>
      <c r="F24" s="13">
        <v>14.81</v>
      </c>
      <c r="G24" s="14">
        <v>7397.2790000000005</v>
      </c>
      <c r="H24" s="51">
        <f>_xll.SNL.Clients.Office.Excel.Functions.SPG($A$3, "IQ_Total_debt","FQ0",B24)</f>
        <v>9528525</v>
      </c>
      <c r="I24" s="60">
        <f>_xll.SNL.Clients.Office.Excel.Functions.SPG($A$3, "sp_shares_out",$B24)</f>
        <v>511048237</v>
      </c>
      <c r="J24" s="80">
        <v>192.26400000000001</v>
      </c>
      <c r="K24" s="25">
        <f>(J24*1000000)/I24</f>
        <v>0.37621497557382239</v>
      </c>
      <c r="L24" s="79">
        <f>_xll.SNL.Clients.Office.Excel.Functions.SPG($A$3, "IQ_Common_div_declared", "FQ0", $B24)</f>
        <v>0.37</v>
      </c>
      <c r="M24" s="26">
        <f>K24/L24</f>
        <v>1.0167972312806011</v>
      </c>
      <c r="N24" s="16">
        <v>1.14E-2</v>
      </c>
      <c r="O24" s="16">
        <v>2.7E-2</v>
      </c>
      <c r="P24" s="10"/>
      <c r="Q24" s="14">
        <v>16417.778999999999</v>
      </c>
      <c r="R24" s="14">
        <v>16470.893</v>
      </c>
      <c r="S24" s="8">
        <f>IF(R24&gt;0,R24/Q24,"")</f>
        <v>1.0032351513563438</v>
      </c>
      <c r="T24" s="54">
        <f>_xll.SNL.Clients.Office.Excel.Functions.SPG($A$3, "iq_ebt_excl", "FQ0", C24)/1000</f>
        <v>195.64599999999999</v>
      </c>
      <c r="U24" s="53">
        <f>T24-J24</f>
        <v>3.3819999999999766</v>
      </c>
      <c r="V24" s="25">
        <f>T24*1000000/I24</f>
        <v>0.38283274617773505</v>
      </c>
      <c r="W24" s="26">
        <f>V24/L24</f>
        <v>1.0346830977776622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2626"/>
  </sheetPr>
  <dimension ref="A1:W24"/>
  <sheetViews>
    <sheetView workbookViewId="0">
      <pane xSplit="3" ySplit="4" topLeftCell="D5" activePane="bottomRight" state="frozen"/>
      <selection pane="topRight"/>
      <selection pane="bottomLeft"/>
      <selection pane="bottomRight" activeCell="A4" sqref="A4:W4"/>
    </sheetView>
    <sheetView workbookViewId="1">
      <selection sqref="A1:S1"/>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3" ht="16.5" x14ac:dyDescent="0.25">
      <c r="A1" s="57" t="s">
        <v>135</v>
      </c>
      <c r="B1" s="56"/>
      <c r="C1" s="56"/>
      <c r="D1" s="56"/>
      <c r="E1" s="56"/>
      <c r="F1" s="56"/>
      <c r="G1" s="56"/>
      <c r="H1" s="56"/>
      <c r="I1" s="56"/>
      <c r="N1" s="56"/>
      <c r="O1" s="56"/>
      <c r="P1" s="56"/>
      <c r="Q1" s="56"/>
      <c r="R1" s="56"/>
      <c r="S1" s="56"/>
    </row>
    <row r="2" spans="1:23" x14ac:dyDescent="0.25">
      <c r="A2" s="55" t="s">
        <v>1</v>
      </c>
      <c r="B2" s="56"/>
      <c r="C2" s="56"/>
      <c r="D2" s="56"/>
      <c r="E2" s="56"/>
      <c r="F2" s="56"/>
      <c r="G2" s="56"/>
      <c r="H2" s="56"/>
      <c r="I2" s="56"/>
      <c r="N2" s="56"/>
      <c r="O2" s="56"/>
      <c r="P2" s="56"/>
      <c r="Q2" s="56"/>
      <c r="R2" s="56"/>
      <c r="S2" s="56"/>
    </row>
    <row r="3" spans="1:23" x14ac:dyDescent="0.25">
      <c r="A3" s="27" t="s">
        <v>170</v>
      </c>
    </row>
    <row r="4" spans="1:23" ht="43.5" thickBot="1" x14ac:dyDescent="0.3">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x14ac:dyDescent="0.25">
      <c r="A5" s="1" t="s">
        <v>21</v>
      </c>
      <c r="B5" s="2" t="s">
        <v>22</v>
      </c>
      <c r="C5" s="2" t="s">
        <v>122</v>
      </c>
      <c r="D5" s="3"/>
      <c r="E5" s="4"/>
      <c r="F5" s="11">
        <v>13.56</v>
      </c>
      <c r="G5" s="78">
        <v>783</v>
      </c>
      <c r="H5" s="51">
        <f>_xll.SNL.Clients.Office.Excel.Functions.SPG($A$3, "IQ_Total_debt","FQ0",B5)</f>
        <v>850016.19900000002</v>
      </c>
      <c r="I5" s="60">
        <f>_xll.SNL.Clients.Office.Excel.Functions.SPG($A$3, "sp_shares_out",$B5)</f>
        <v>57767264</v>
      </c>
      <c r="J5" s="17">
        <v>18.441386000000001</v>
      </c>
      <c r="K5" s="25">
        <f>(J5*1000000)/I5</f>
        <v>0.31923592573122384</v>
      </c>
      <c r="L5" s="79">
        <f>_xll.SNL.Clients.Office.Excel.Functions.SPG($A$3, "IQ_Common_div_declared", "FQ0", $B5)</f>
        <v>0.3</v>
      </c>
      <c r="M5" s="26">
        <f>K5/L5</f>
        <v>1.0641197524374129</v>
      </c>
      <c r="N5" s="15">
        <v>4.0000000000000001E-3</v>
      </c>
      <c r="O5" s="15">
        <v>8.0000000000000002E-3</v>
      </c>
      <c r="P5" s="15">
        <v>0.23</v>
      </c>
      <c r="Q5" s="12">
        <v>1764.766249</v>
      </c>
      <c r="R5" s="12">
        <v>1735.3914649999999</v>
      </c>
      <c r="S5" s="5">
        <f>IF(R5&gt;0,R5/Q5,"")</f>
        <v>0.98335485845978454</v>
      </c>
      <c r="T5" s="54">
        <f>_xll.SNL.Clients.Office.Excel.Functions.SPG($A$3, "iq_ebt_excl", "FQ0", B5)/1000</f>
        <v>19.993971000000002</v>
      </c>
      <c r="U5" s="53">
        <f>T5-J5</f>
        <v>1.5525850000000005</v>
      </c>
      <c r="V5" s="25">
        <f>T5*1000000/I5</f>
        <v>0.34611247989864991</v>
      </c>
      <c r="W5" s="26">
        <f>V5/L5</f>
        <v>1.1537082663288332</v>
      </c>
    </row>
    <row r="6" spans="1:23" x14ac:dyDescent="0.25">
      <c r="A6" s="6" t="s">
        <v>24</v>
      </c>
      <c r="B6" s="7" t="s">
        <v>25</v>
      </c>
      <c r="C6" s="7" t="s">
        <v>136</v>
      </c>
      <c r="D6" s="3"/>
      <c r="E6" s="4"/>
      <c r="F6" s="13">
        <v>14.21</v>
      </c>
      <c r="G6" s="14">
        <v>820.63759300000004</v>
      </c>
      <c r="H6" s="51">
        <f>_xll.SNL.Clients.Office.Excel.Functions.SPG($A$3, "IQ_Total_debt","FQ0",B6)</f>
        <v>982981.86199999996</v>
      </c>
      <c r="I6" s="60">
        <f>_xll.SNL.Clients.Office.Excel.Functions.SPG($A$3, "sp_shares_out",$B6)</f>
        <v>57767264</v>
      </c>
      <c r="J6" s="18">
        <v>17.767185999999999</v>
      </c>
      <c r="K6" s="25">
        <f>(J6*1000000)/I6</f>
        <v>0.30756495581996057</v>
      </c>
      <c r="L6" s="79">
        <f>_xll.SNL.Clients.Office.Excel.Functions.SPG($A$3, "IQ_Common_div_declared", "FQ0", $B6)</f>
        <v>0.3</v>
      </c>
      <c r="M6" s="26">
        <f>K6/L6</f>
        <v>1.0252165193998686</v>
      </c>
      <c r="N6" s="16">
        <v>3.0000000000000001E-3</v>
      </c>
      <c r="O6" s="16">
        <v>6.9999999999999993E-3</v>
      </c>
      <c r="P6" s="16">
        <v>0.27200000000000002</v>
      </c>
      <c r="Q6" s="14">
        <v>1818.1494070000001</v>
      </c>
      <c r="R6" s="14">
        <v>1826.0566220000001</v>
      </c>
      <c r="S6" s="8">
        <f>IF(R6&gt;0,R6/Q6,"")</f>
        <v>1.0043490457767423</v>
      </c>
      <c r="T6" s="54">
        <f>_xll.SNL.Clients.Office.Excel.Functions.SPG($A$3, "iq_ebt_excl", "FQ0", B6)/1000</f>
        <v>18.441385999999998</v>
      </c>
      <c r="U6" s="53">
        <f>T6-J6</f>
        <v>0.67419999999999902</v>
      </c>
      <c r="V6" s="25">
        <f>T6*1000000/I6</f>
        <v>0.31923592573122378</v>
      </c>
      <c r="W6" s="26">
        <f>V6/L6</f>
        <v>1.0641197524374126</v>
      </c>
    </row>
    <row r="7" spans="1:23" x14ac:dyDescent="0.25">
      <c r="A7" s="1" t="s">
        <v>27</v>
      </c>
      <c r="B7" s="2" t="s">
        <v>28</v>
      </c>
      <c r="C7" s="2" t="s">
        <v>124</v>
      </c>
      <c r="D7" s="3"/>
      <c r="E7" s="4"/>
      <c r="F7" s="11">
        <v>14.09</v>
      </c>
      <c r="G7" s="12">
        <v>814.20409299999994</v>
      </c>
      <c r="H7" s="51">
        <f>_xll.SNL.Clients.Office.Excel.Functions.SPG($A$3, "IQ_Total_debt","FQ0",B7)</f>
        <v>991086.00199999998</v>
      </c>
      <c r="I7" s="60">
        <f>_xll.SNL.Clients.Office.Excel.Functions.SPG($A$3, "sp_shares_out",$B7)</f>
        <v>57767264</v>
      </c>
      <c r="J7" s="17">
        <v>18.691595</v>
      </c>
      <c r="K7" s="25">
        <f>(J7*1000000)/I7</f>
        <v>0.32356725428436423</v>
      </c>
      <c r="L7" s="79">
        <f>_xll.SNL.Clients.Office.Excel.Functions.SPG($A$3, "IQ_Common_div_declared", "FQ0", $B7)</f>
        <v>0.3</v>
      </c>
      <c r="M7" s="26">
        <f>K7/L7</f>
        <v>1.078557514281214</v>
      </c>
      <c r="N7" s="15">
        <v>0.01</v>
      </c>
      <c r="O7" s="15">
        <v>1.7999999999999999E-2</v>
      </c>
      <c r="P7" s="15">
        <v>0.28199999999999997</v>
      </c>
      <c r="Q7" s="12">
        <v>1759.1871020000001</v>
      </c>
      <c r="R7" s="12">
        <v>1757.378181</v>
      </c>
      <c r="S7" s="5">
        <f>IF(R7&gt;0,R7/Q7,"")</f>
        <v>0.99897172904579423</v>
      </c>
      <c r="T7" s="54">
        <f>_xll.SNL.Clients.Office.Excel.Functions.SPG($A$3, "iq_ebt_excl", "FQ0", B7)/1000</f>
        <v>17.767186000000002</v>
      </c>
      <c r="U7" s="53">
        <f>T7-J7</f>
        <v>-0.92440899999999715</v>
      </c>
      <c r="V7" s="25">
        <f>T7*1000000/I7</f>
        <v>0.30756495581996068</v>
      </c>
      <c r="W7" s="26">
        <f>V7/L7</f>
        <v>1.025216519399869</v>
      </c>
    </row>
    <row r="8" spans="1:23" x14ac:dyDescent="0.25">
      <c r="A8" s="6" t="s">
        <v>30</v>
      </c>
      <c r="B8" s="7" t="s">
        <v>31</v>
      </c>
      <c r="C8" s="7" t="s">
        <v>137</v>
      </c>
      <c r="D8" s="3"/>
      <c r="E8" s="4"/>
      <c r="F8" s="13">
        <v>14.36</v>
      </c>
      <c r="G8" s="14">
        <v>829.456636</v>
      </c>
      <c r="H8" s="51">
        <f>_xll.SNL.Clients.Office.Excel.Functions.SPG($A$3, "IQ_Total_debt","FQ0",B8)</f>
        <v>977842.11899999995</v>
      </c>
      <c r="I8" s="60">
        <f>_xll.SNL.Clients.Office.Excel.Functions.SPG($A$3, "sp_shares_out",$B8)</f>
        <v>57767264</v>
      </c>
      <c r="J8" s="18">
        <v>17.642946999999999</v>
      </c>
      <c r="K8" s="25">
        <f>(J8*1000000)/I8</f>
        <v>0.30541427407744287</v>
      </c>
      <c r="L8" s="79">
        <f>_xll.SNL.Clients.Office.Excel.Functions.SPG($A$3, "IQ_Common_div_declared", "FQ0", $B8)</f>
        <v>0.3</v>
      </c>
      <c r="M8" s="26">
        <f>K8/L8</f>
        <v>1.018047580258143</v>
      </c>
      <c r="N8" s="16">
        <v>9.0000000000000011E-3</v>
      </c>
      <c r="O8" s="16">
        <v>1.7000000000000001E-2</v>
      </c>
      <c r="P8" s="16">
        <v>0.312</v>
      </c>
      <c r="Q8" s="14">
        <v>1821.6029100000001</v>
      </c>
      <c r="R8" s="14">
        <v>1841.1381220000001</v>
      </c>
      <c r="S8" s="8">
        <f>IF(R8&gt;0,R8/Q8,"")</f>
        <v>1.0107241879625675</v>
      </c>
      <c r="T8" s="54">
        <f>_xll.SNL.Clients.Office.Excel.Functions.SPG($A$3, "iq_ebt_excl", "FQ0", B8)/1000</f>
        <v>18.691595</v>
      </c>
      <c r="U8" s="53">
        <f>T8-J8</f>
        <v>1.048648</v>
      </c>
      <c r="V8" s="25">
        <f>T8*1000000/I8</f>
        <v>0.32356725428436423</v>
      </c>
      <c r="W8" s="26">
        <f>V8/L8</f>
        <v>1.078557514281214</v>
      </c>
    </row>
    <row r="9" spans="1:23" x14ac:dyDescent="0.25">
      <c r="A9" s="1" t="s">
        <v>33</v>
      </c>
      <c r="B9" s="2" t="s">
        <v>34</v>
      </c>
      <c r="C9" s="2" t="s">
        <v>126</v>
      </c>
      <c r="D9" s="3"/>
      <c r="E9" s="4"/>
      <c r="F9" s="11">
        <v>14.27</v>
      </c>
      <c r="G9" s="12">
        <v>824.46232799999996</v>
      </c>
      <c r="H9" s="51">
        <f>_xll.SNL.Clients.Office.Excel.Functions.SPG($A$3, "IQ_Total_debt","FQ0",B9)</f>
        <v>1012461.34</v>
      </c>
      <c r="I9" s="60">
        <f>_xll.SNL.Clients.Office.Excel.Functions.SPG($A$3, "sp_shares_out",$B9)</f>
        <v>57767264</v>
      </c>
      <c r="J9" s="17">
        <v>19.75394</v>
      </c>
      <c r="K9" s="25">
        <f>(J9*1000000)/I9</f>
        <v>0.34195734109893106</v>
      </c>
      <c r="L9" s="79">
        <f>_xll.SNL.Clients.Office.Excel.Functions.SPG($A$3, "IQ_Common_div_declared", "FQ0", $B9)</f>
        <v>0.3</v>
      </c>
      <c r="M9" s="26">
        <f>K9/L9</f>
        <v>1.1398578036631035</v>
      </c>
      <c r="N9" s="15">
        <v>3.0000000000000001E-3</v>
      </c>
      <c r="O9" s="15">
        <v>9.0000000000000011E-3</v>
      </c>
      <c r="P9" s="15">
        <v>0.27500000000000002</v>
      </c>
      <c r="Q9" s="12">
        <v>1783.5074050000001</v>
      </c>
      <c r="R9" s="12">
        <v>1795.750845</v>
      </c>
      <c r="S9" s="5">
        <f>IF(R9&gt;0,R9/Q9,"")</f>
        <v>1.006864810297774</v>
      </c>
      <c r="T9" s="54">
        <f>_xll.SNL.Clients.Office.Excel.Functions.SPG($A$3, "iq_ebt_excl", "FQ0", B9)/1000</f>
        <v>17.642946999999999</v>
      </c>
      <c r="U9" s="53">
        <f>T9-J9</f>
        <v>-2.1109930000000006</v>
      </c>
      <c r="V9" s="25">
        <f>T9*1000000/I9</f>
        <v>0.30541427407744287</v>
      </c>
      <c r="W9" s="26">
        <f>V9/L9</f>
        <v>1.018047580258143</v>
      </c>
    </row>
    <row r="10" spans="1:23" x14ac:dyDescent="0.25">
      <c r="A10" s="6" t="s">
        <v>36</v>
      </c>
      <c r="B10" s="7" t="s">
        <v>37</v>
      </c>
      <c r="C10" s="7" t="s">
        <v>127</v>
      </c>
      <c r="D10" s="3"/>
      <c r="E10" s="4"/>
      <c r="F10" s="13">
        <v>13.97</v>
      </c>
      <c r="G10" s="14">
        <v>807.00407399999995</v>
      </c>
      <c r="H10" s="51">
        <f>_xll.SNL.Clients.Office.Excel.Functions.SPG($A$3, "IQ_Total_debt","FQ0",B10)</f>
        <v>1027911.497</v>
      </c>
      <c r="I10" s="60">
        <f>_xll.SNL.Clients.Office.Excel.Functions.SPG($A$3, "sp_shares_out",$B10)</f>
        <v>57767264</v>
      </c>
      <c r="J10" s="18">
        <v>21.270198000000001</v>
      </c>
      <c r="K10" s="25">
        <f>(J10*1000000)/I10</f>
        <v>0.36820504429636824</v>
      </c>
      <c r="L10" s="79">
        <f>_xll.SNL.Clients.Office.Excel.Functions.SPG($A$3, "IQ_Common_div_declared", "FQ0", $B10)</f>
        <v>0.3</v>
      </c>
      <c r="M10" s="26">
        <f>K10/L10</f>
        <v>1.227350147654561</v>
      </c>
      <c r="N10" s="16">
        <v>3.0000000000000001E-3</v>
      </c>
      <c r="O10" s="16">
        <v>5.0000000000000001E-3</v>
      </c>
      <c r="P10" s="16">
        <v>0.27600000000000002</v>
      </c>
      <c r="Q10" s="14">
        <v>1788.0781489999999</v>
      </c>
      <c r="R10" s="14">
        <v>1796.877765</v>
      </c>
      <c r="S10" s="8">
        <f>IF(R10&gt;0,R10/Q10,"")</f>
        <v>1.0049212703622161</v>
      </c>
      <c r="T10" s="54">
        <f>_xll.SNL.Clients.Office.Excel.Functions.SPG($A$3, "iq_ebt_excl", "FQ0", B10)/1000</f>
        <v>19.75394</v>
      </c>
      <c r="U10" s="53">
        <f>T10-J10</f>
        <v>-1.5162580000000005</v>
      </c>
      <c r="V10" s="25">
        <f>T10*1000000/I10</f>
        <v>0.34195734109893106</v>
      </c>
      <c r="W10" s="26">
        <f>V10/L10</f>
        <v>1.1398578036631035</v>
      </c>
    </row>
    <row r="11" spans="1:23" x14ac:dyDescent="0.25">
      <c r="A11" s="1" t="s">
        <v>39</v>
      </c>
      <c r="B11" s="2" t="s">
        <v>40</v>
      </c>
      <c r="C11" s="2" t="s">
        <v>138</v>
      </c>
      <c r="D11" s="3"/>
      <c r="E11" s="4"/>
      <c r="F11" s="11">
        <v>14.12</v>
      </c>
      <c r="G11" s="12">
        <v>815.91290200000003</v>
      </c>
      <c r="H11" s="51">
        <f>_xll.SNL.Clients.Office.Excel.Functions.SPG($A$3, "IQ_Total_debt","FQ0",B11)</f>
        <v>1041901.416</v>
      </c>
      <c r="I11" s="60">
        <f>_xll.SNL.Clients.Office.Excel.Functions.SPG($A$3, "sp_shares_out",$B11)</f>
        <v>57767264</v>
      </c>
      <c r="J11" s="17">
        <v>24.391466999999999</v>
      </c>
      <c r="K11" s="25">
        <f>(J11*1000000)/I11</f>
        <v>0.42223683988218658</v>
      </c>
      <c r="L11" s="79">
        <f>_xll.SNL.Clients.Office.Excel.Functions.SPG($A$3, "IQ_Common_div_declared", "FQ0", $B11)</f>
        <v>0.3</v>
      </c>
      <c r="M11" s="26">
        <f>K11/L11</f>
        <v>1.4074561329406219</v>
      </c>
      <c r="N11" s="15">
        <v>3.0000000000000001E-3</v>
      </c>
      <c r="O11" s="15">
        <v>5.0000000000000001E-3</v>
      </c>
      <c r="P11" s="15">
        <v>0.255</v>
      </c>
      <c r="Q11" s="12">
        <v>1668.767206</v>
      </c>
      <c r="R11" s="12">
        <v>1678.8751520000001</v>
      </c>
      <c r="S11" s="5">
        <f>IF(R11&gt;0,R11/Q11,"")</f>
        <v>1.0060571336515107</v>
      </c>
      <c r="T11" s="54">
        <f>_xll.SNL.Clients.Office.Excel.Functions.SPG($A$3, "iq_ebt_excl", "FQ0", B11)/1000</f>
        <v>21.270198000000001</v>
      </c>
      <c r="U11" s="53">
        <f>T11-J11</f>
        <v>-3.1212689999999981</v>
      </c>
      <c r="V11" s="25">
        <f>T11*1000000/I11</f>
        <v>0.36820504429636824</v>
      </c>
      <c r="W11" s="26">
        <f>V11/L11</f>
        <v>1.227350147654561</v>
      </c>
    </row>
    <row r="12" spans="1:23" x14ac:dyDescent="0.25">
      <c r="A12" s="6" t="s">
        <v>42</v>
      </c>
      <c r="B12" s="7" t="s">
        <v>43</v>
      </c>
      <c r="C12" s="7" t="s">
        <v>139</v>
      </c>
      <c r="D12" s="3"/>
      <c r="E12" s="4"/>
      <c r="F12" s="13">
        <v>12.93</v>
      </c>
      <c r="G12" s="14">
        <v>746.75378999999998</v>
      </c>
      <c r="H12" s="51">
        <f>_xll.SNL.Clients.Office.Excel.Functions.SPG($A$3, "IQ_Total_debt","FQ0",B12)</f>
        <v>983872.53300000005</v>
      </c>
      <c r="I12" s="60">
        <f>_xll.SNL.Clients.Office.Excel.Functions.SPG($A$3, "sp_shares_out",$B12)</f>
        <v>57767264</v>
      </c>
      <c r="J12" s="18">
        <v>23.022568</v>
      </c>
      <c r="K12" s="25">
        <f>(J12*1000000)/I12</f>
        <v>0.39854004510236107</v>
      </c>
      <c r="L12" s="79">
        <f>_xll.SNL.Clients.Office.Excel.Functions.SPG($A$3, "IQ_Common_div_declared", "FQ0", $B12)</f>
        <v>0.3</v>
      </c>
      <c r="M12" s="26">
        <f>K12/L12</f>
        <v>1.3284668170078704</v>
      </c>
      <c r="N12" s="16">
        <v>0.02</v>
      </c>
      <c r="O12" s="16">
        <v>4.2000000000000003E-2</v>
      </c>
      <c r="P12" s="16">
        <v>0.30199999999999988</v>
      </c>
      <c r="Q12" s="14">
        <v>1669.7799210000001</v>
      </c>
      <c r="R12" s="14">
        <v>1609.5876410000001</v>
      </c>
      <c r="S12" s="8">
        <f>IF(R12&gt;0,R12/Q12,"")</f>
        <v>0.9639519680150711</v>
      </c>
      <c r="T12" s="54">
        <f>_xll.SNL.Clients.Office.Excel.Functions.SPG($A$3, "iq_ebt_excl", "FQ0", B12)/1000</f>
        <v>24.391467000000002</v>
      </c>
      <c r="U12" s="53">
        <f>T12-J12</f>
        <v>1.3688990000000025</v>
      </c>
      <c r="V12" s="25">
        <f>T12*1000000/I12</f>
        <v>0.42223683988218663</v>
      </c>
      <c r="W12" s="26">
        <f>V12/L12</f>
        <v>1.4074561329406221</v>
      </c>
    </row>
    <row r="13" spans="1:23" x14ac:dyDescent="0.25">
      <c r="A13" s="1" t="s">
        <v>45</v>
      </c>
      <c r="B13" s="2" t="s">
        <v>46</v>
      </c>
      <c r="C13" s="2" t="s">
        <v>140</v>
      </c>
      <c r="D13" s="3"/>
      <c r="E13" s="4"/>
      <c r="F13" s="11">
        <v>13</v>
      </c>
      <c r="G13" s="12">
        <v>750.98214499999995</v>
      </c>
      <c r="H13" s="51">
        <f>_xll.SNL.Clients.Office.Excel.Functions.SPG($A$3, "IQ_Total_debt","FQ0",B13)</f>
        <v>944005.81400000001</v>
      </c>
      <c r="I13" s="60">
        <f>_xll.SNL.Clients.Office.Excel.Functions.SPG($A$3, "sp_shares_out",$B13)</f>
        <v>57767264</v>
      </c>
      <c r="J13" s="17">
        <v>25.408567000000001</v>
      </c>
      <c r="K13" s="25">
        <f>(J13*1000000)/I13</f>
        <v>0.43984369763470188</v>
      </c>
      <c r="L13" s="79">
        <f>_xll.SNL.Clients.Office.Excel.Functions.SPG($A$3, "IQ_Common_div_declared", "FQ0", $B13)</f>
        <v>0.32</v>
      </c>
      <c r="M13" s="26">
        <f>K13/L13</f>
        <v>1.3745115551084433</v>
      </c>
      <c r="N13" s="15">
        <v>3.0000000000000001E-3</v>
      </c>
      <c r="O13" s="15">
        <v>5.0000000000000001E-3</v>
      </c>
      <c r="P13" s="15">
        <v>0.309</v>
      </c>
      <c r="Q13" s="12">
        <v>1697.777441</v>
      </c>
      <c r="R13" s="12">
        <v>1665.730102</v>
      </c>
      <c r="S13" s="5">
        <f>IF(R13&gt;0,R13/Q13,"")</f>
        <v>0.98112394579755757</v>
      </c>
      <c r="T13" s="54">
        <f>_xll.SNL.Clients.Office.Excel.Functions.SPG($A$3, "iq_ebt_excl", "FQ0", B13)/1000</f>
        <v>23.022568</v>
      </c>
      <c r="U13" s="53">
        <f>T13-J13</f>
        <v>-2.3859990000000018</v>
      </c>
      <c r="V13" s="25">
        <f>T13*1000000/I13</f>
        <v>0.39854004510236107</v>
      </c>
      <c r="W13" s="26">
        <f>V13/L13</f>
        <v>1.2454376409448784</v>
      </c>
    </row>
    <row r="14" spans="1:23" x14ac:dyDescent="0.25">
      <c r="A14" s="6" t="s">
        <v>48</v>
      </c>
      <c r="B14" s="7" t="s">
        <v>49</v>
      </c>
      <c r="C14" s="7" t="s">
        <v>141</v>
      </c>
      <c r="D14" s="3"/>
      <c r="E14" s="4"/>
      <c r="F14" s="13">
        <v>12.94</v>
      </c>
      <c r="G14" s="14">
        <v>747.59196099999997</v>
      </c>
      <c r="H14" s="51">
        <f>_xll.SNL.Clients.Office.Excel.Functions.SPG($A$3, "IQ_Total_debt","FQ0",B14)</f>
        <v>1022620.485</v>
      </c>
      <c r="I14" s="60">
        <f>_xll.SNL.Clients.Office.Excel.Functions.SPG($A$3, "sp_shares_out",$B14)</f>
        <v>57767264</v>
      </c>
      <c r="J14" s="18">
        <v>27.604479000000001</v>
      </c>
      <c r="K14" s="25">
        <f>(J14*1000000)/I14</f>
        <v>0.47785678407757032</v>
      </c>
      <c r="L14" s="79">
        <f>_xll.SNL.Clients.Office.Excel.Functions.SPG($A$3, "IQ_Common_div_declared", "FQ0", $B14)</f>
        <v>0.32</v>
      </c>
      <c r="M14" s="26">
        <f>K14/L14</f>
        <v>1.4933024502424073</v>
      </c>
      <c r="N14" s="16">
        <v>3.0000000000000001E-3</v>
      </c>
      <c r="O14" s="16">
        <v>5.0000000000000001E-3</v>
      </c>
      <c r="P14" s="16">
        <v>0.31200000000000011</v>
      </c>
      <c r="Q14" s="14">
        <v>1683.6068009999999</v>
      </c>
      <c r="R14" s="14">
        <v>1640.5580339999999</v>
      </c>
      <c r="S14" s="8">
        <f>IF(R14&gt;0,R14/Q14,"")</f>
        <v>0.97443062894826116</v>
      </c>
      <c r="T14" s="54">
        <f>_xll.SNL.Clients.Office.Excel.Functions.SPG($A$3, "iq_ebt_excl", "FQ0", B14)/1000</f>
        <v>25.408566999999998</v>
      </c>
      <c r="U14" s="53">
        <f>T14-J14</f>
        <v>-2.1959120000000034</v>
      </c>
      <c r="V14" s="25">
        <f>T14*1000000/I14</f>
        <v>0.43984369763470182</v>
      </c>
      <c r="W14" s="26">
        <f>V14/L14</f>
        <v>1.3745115551084433</v>
      </c>
    </row>
    <row r="15" spans="1:23" x14ac:dyDescent="0.25">
      <c r="A15" s="1" t="s">
        <v>51</v>
      </c>
      <c r="B15" s="2" t="s">
        <v>52</v>
      </c>
      <c r="C15" s="2" t="s">
        <v>142</v>
      </c>
      <c r="D15" s="3"/>
      <c r="E15" s="4"/>
      <c r="F15" s="11">
        <v>12.72</v>
      </c>
      <c r="G15" s="12">
        <v>734.997297</v>
      </c>
      <c r="H15" s="51">
        <f>_xll.SNL.Clients.Office.Excel.Functions.SPG($A$3, "IQ_Total_debt","FQ0",B15)</f>
        <v>1021131.8909999999</v>
      </c>
      <c r="I15" s="60">
        <f>_xll.SNL.Clients.Office.Excel.Functions.SPG($A$3, "sp_shares_out",$B15)</f>
        <v>57767264</v>
      </c>
      <c r="J15" s="17">
        <v>28.333075999999998</v>
      </c>
      <c r="K15" s="25">
        <f>(J15*1000000)/I15</f>
        <v>0.49046941188005722</v>
      </c>
      <c r="L15" s="79">
        <f>_xll.SNL.Clients.Office.Excel.Functions.SPG($A$3, "IQ_Common_div_declared", "FQ0", $B15)</f>
        <v>0.34</v>
      </c>
      <c r="M15" s="26">
        <f>K15/L15</f>
        <v>1.442557093764874</v>
      </c>
      <c r="N15" s="15">
        <v>1.0999999999999999E-2</v>
      </c>
      <c r="O15" s="15">
        <v>1.7000000000000001E-2</v>
      </c>
      <c r="P15" s="15">
        <v>0.28899999999999998</v>
      </c>
      <c r="Q15" s="12">
        <v>1651.9425940000001</v>
      </c>
      <c r="R15" s="12">
        <v>1593.3207179999999</v>
      </c>
      <c r="S15" s="5">
        <f>IF(R15&gt;0,R15/Q15,"")</f>
        <v>0.96451336976664936</v>
      </c>
      <c r="T15" s="54">
        <f>_xll.SNL.Clients.Office.Excel.Functions.SPG($A$3, "iq_ebt_excl", "FQ0", B15)/1000</f>
        <v>27.604478999999998</v>
      </c>
      <c r="U15" s="53">
        <f>T15-J15</f>
        <v>-0.72859700000000061</v>
      </c>
      <c r="V15" s="25">
        <f>T15*1000000/I15</f>
        <v>0.47785678407757026</v>
      </c>
      <c r="W15" s="26">
        <f>V15/L15</f>
        <v>1.4054611296399124</v>
      </c>
    </row>
    <row r="16" spans="1:23" x14ac:dyDescent="0.25">
      <c r="A16" s="6" t="s">
        <v>54</v>
      </c>
      <c r="B16" s="7" t="s">
        <v>55</v>
      </c>
      <c r="C16" s="7" t="s">
        <v>143</v>
      </c>
      <c r="D16" s="3"/>
      <c r="E16" s="4"/>
      <c r="F16" s="13">
        <v>11.9</v>
      </c>
      <c r="G16" s="14">
        <v>687.60154599999998</v>
      </c>
      <c r="H16" s="51">
        <f>_xll.SNL.Clients.Office.Excel.Functions.SPG($A$3, "IQ_Total_debt","FQ0",B16)</f>
        <v>970374.27300000004</v>
      </c>
      <c r="I16" s="60">
        <f>_xll.SNL.Clients.Office.Excel.Functions.SPG($A$3, "sp_shares_out",$B16)</f>
        <v>57767264</v>
      </c>
      <c r="J16" s="18">
        <v>25.457951000000001</v>
      </c>
      <c r="K16" s="25">
        <f>(J16*1000000)/I16</f>
        <v>0.44069857627323322</v>
      </c>
      <c r="L16" s="79">
        <f>_xll.SNL.Clients.Office.Excel.Functions.SPG($A$3, "IQ_Common_div_declared", "FQ0", $B16)</f>
        <v>0.34</v>
      </c>
      <c r="M16" s="26">
        <f>K16/L16</f>
        <v>1.2961722831565683</v>
      </c>
      <c r="N16" s="16">
        <v>0.02</v>
      </c>
      <c r="O16" s="16">
        <v>3.7000000000000012E-2</v>
      </c>
      <c r="P16" s="16">
        <v>0.28699999999999998</v>
      </c>
      <c r="Q16" s="14">
        <v>1651.390013</v>
      </c>
      <c r="R16" s="14">
        <v>1554.94111</v>
      </c>
      <c r="S16" s="8">
        <f>IF(R16&gt;0,R16/Q16,"")</f>
        <v>0.94159532137124535</v>
      </c>
      <c r="T16" s="54">
        <f>_xll.SNL.Clients.Office.Excel.Functions.SPG($A$3, "iq_ebt_excl", "FQ0", B16)/1000</f>
        <v>28.333076000000002</v>
      </c>
      <c r="U16" s="53">
        <f>T16-J16</f>
        <v>2.8751250000000006</v>
      </c>
      <c r="V16" s="25">
        <f>T16*1000000/I16</f>
        <v>0.49046941188005727</v>
      </c>
      <c r="W16" s="26">
        <f>V16/L16</f>
        <v>1.4425570937648742</v>
      </c>
    </row>
    <row r="17" spans="1:23" x14ac:dyDescent="0.25">
      <c r="A17" s="1" t="s">
        <v>57</v>
      </c>
      <c r="B17" s="2" t="s">
        <v>58</v>
      </c>
      <c r="C17" s="2" t="s">
        <v>59</v>
      </c>
      <c r="D17" s="3"/>
      <c r="E17" s="4"/>
      <c r="F17" s="11">
        <v>11.14</v>
      </c>
      <c r="G17" s="12">
        <v>953.48242700000003</v>
      </c>
      <c r="H17" s="51">
        <f>_xll.SNL.Clients.Office.Excel.Functions.SPG($A$3, "IQ_Total_debt","FQ0",B17)</f>
        <v>985200.60900000005</v>
      </c>
      <c r="I17" s="60">
        <f>_xll.SNL.Clients.Office.Excel.Functions.SPG($A$3, "sp_shares_out",$B17)</f>
        <v>85591333</v>
      </c>
      <c r="J17" s="17">
        <v>28.261272999999999</v>
      </c>
      <c r="K17" s="25">
        <f>(J17*1000000)/I17</f>
        <v>0.33018848999582701</v>
      </c>
      <c r="L17" s="79">
        <f>_xll.SNL.Clients.Office.Excel.Functions.SPG($A$3, "IQ_Common_div_declared", "FQ0", $B17)</f>
        <v>0.34</v>
      </c>
      <c r="M17" s="26">
        <f>K17/L17</f>
        <v>0.97114261763478527</v>
      </c>
      <c r="N17" s="15">
        <v>1.7000000000000001E-2</v>
      </c>
      <c r="O17" s="15">
        <v>3.5999999999999997E-2</v>
      </c>
      <c r="P17" s="15">
        <v>0.29799999999999999</v>
      </c>
      <c r="Q17" s="12">
        <v>2236.061584</v>
      </c>
      <c r="R17" s="12">
        <v>2116.419296</v>
      </c>
      <c r="S17" s="5">
        <f>IF(R17&gt;0,R17/Q17,"")</f>
        <v>0.94649418922265249</v>
      </c>
      <c r="T17" s="54">
        <f>_xll.SNL.Clients.Office.Excel.Functions.SPG($A$3, "iq_ebt_excl", "FQ0", B17)/1000</f>
        <v>25.457951000000001</v>
      </c>
      <c r="U17" s="53">
        <f>T17-J17</f>
        <v>-2.8033219999999979</v>
      </c>
      <c r="V17" s="25">
        <f>T17*1000000/I17</f>
        <v>0.29743608502977747</v>
      </c>
      <c r="W17" s="26">
        <f>V17/L17</f>
        <v>0.87481201479346304</v>
      </c>
    </row>
    <row r="18" spans="1:23" x14ac:dyDescent="0.25">
      <c r="A18" s="6" t="s">
        <v>60</v>
      </c>
      <c r="B18" s="7" t="s">
        <v>61</v>
      </c>
      <c r="C18" s="7" t="s">
        <v>95</v>
      </c>
      <c r="D18" s="3"/>
      <c r="E18" s="4"/>
      <c r="F18" s="13">
        <v>10.199999999999999</v>
      </c>
      <c r="G18" s="14">
        <v>873.10492399999998</v>
      </c>
      <c r="H18" s="51">
        <f>_xll.SNL.Clients.Office.Excel.Functions.SPG($A$3, "IQ_Total_debt","FQ0",B18)</f>
        <v>1304483.6040000001</v>
      </c>
      <c r="I18" s="60">
        <f>_xll.SNL.Clients.Office.Excel.Functions.SPG($A$3, "sp_shares_out",$B18)</f>
        <v>85591134</v>
      </c>
      <c r="J18" s="18">
        <v>35.825532000000003</v>
      </c>
      <c r="K18" s="25">
        <f>(J18*1000000)/I18</f>
        <v>0.41856592296113287</v>
      </c>
      <c r="L18" s="79">
        <f>_xll.SNL.Clients.Office.Excel.Functions.SPG($A$3, "IQ_Common_div_declared", "FQ0", $B18)</f>
        <v>0.34</v>
      </c>
      <c r="M18" s="26">
        <f>K18/L18</f>
        <v>1.2310762440033318</v>
      </c>
      <c r="N18" s="81">
        <v>4.9000000000000002E-2</v>
      </c>
      <c r="O18" s="81">
        <v>0.105</v>
      </c>
      <c r="P18" s="16">
        <v>0.312</v>
      </c>
      <c r="Q18" s="14">
        <v>2152.0228929999998</v>
      </c>
      <c r="R18" s="14">
        <v>1980.908901</v>
      </c>
      <c r="S18" s="8">
        <f>IF(R18&gt;0,R18/Q18,"")</f>
        <v>0.92048690905817432</v>
      </c>
      <c r="T18" s="54">
        <f>_xll.SNL.Clients.Office.Excel.Functions.SPG($A$3, "iq_ebt_excl", "FQ0", B18)/1000</f>
        <v>28.268211999999998</v>
      </c>
      <c r="U18" s="53">
        <f>T18-J18</f>
        <v>-7.5573200000000043</v>
      </c>
      <c r="V18" s="25">
        <f>T18*1000000/I18</f>
        <v>0.33027032916750465</v>
      </c>
      <c r="W18" s="26">
        <f>V18/L18</f>
        <v>0.97138332108089598</v>
      </c>
    </row>
    <row r="19" spans="1:23" x14ac:dyDescent="0.25">
      <c r="A19" s="1" t="s">
        <v>63</v>
      </c>
      <c r="B19" s="2" t="s">
        <v>64</v>
      </c>
      <c r="C19" s="2" t="s">
        <v>131</v>
      </c>
      <c r="D19" s="3"/>
      <c r="E19" s="4"/>
      <c r="F19" s="11">
        <v>10.11</v>
      </c>
      <c r="G19" s="12">
        <v>865.63689799999997</v>
      </c>
      <c r="H19" s="51">
        <f>_xll.SNL.Clients.Office.Excel.Functions.SPG($A$3, "IQ_Total_debt","FQ0",B19)</f>
        <v>1321151.8319999999</v>
      </c>
      <c r="I19" s="60">
        <f>_xll.SNL.Clients.Office.Excel.Functions.SPG($A$3, "sp_shares_out",$B19)</f>
        <v>85591134</v>
      </c>
      <c r="J19" s="17">
        <v>33.877640999999997</v>
      </c>
      <c r="K19" s="25">
        <f>(J19*1000000)/I19</f>
        <v>0.39580782981564422</v>
      </c>
      <c r="L19" s="79">
        <f>_xll.SNL.Clients.Office.Excel.Functions.SPG($A$3, "IQ_Common_div_declared", "FQ0", $B19)</f>
        <v>0.34</v>
      </c>
      <c r="M19" s="26">
        <f>K19/L19</f>
        <v>1.1641406759283652</v>
      </c>
      <c r="N19" s="82">
        <v>3.7999999999999999E-2</v>
      </c>
      <c r="O19" s="82">
        <v>9.3000000000000013E-2</v>
      </c>
      <c r="P19" s="15">
        <v>0.32700000000000001</v>
      </c>
      <c r="Q19" s="12">
        <v>2061.032995</v>
      </c>
      <c r="R19" s="12">
        <v>1909.0893610000001</v>
      </c>
      <c r="S19" s="5">
        <f>IF(R19&gt;0,R19/Q19,"")</f>
        <v>0.9262779225909481</v>
      </c>
      <c r="T19" s="54">
        <f>_xll.SNL.Clients.Office.Excel.Functions.SPG($A$3, "iq_ebt_excl", "FQ0", B19)/1000</f>
        <v>35.683690000000006</v>
      </c>
      <c r="U19" s="53">
        <f>T19-J19</f>
        <v>1.8060490000000087</v>
      </c>
      <c r="V19" s="25">
        <f>T19*1000000/I19</f>
        <v>0.41690871860629874</v>
      </c>
      <c r="W19" s="26">
        <f>V19/L19</f>
        <v>1.2262021135479373</v>
      </c>
    </row>
    <row r="20" spans="1:23" x14ac:dyDescent="0.25">
      <c r="A20" s="6" t="s">
        <v>66</v>
      </c>
      <c r="B20" s="7" t="s">
        <v>67</v>
      </c>
      <c r="C20" s="7" t="s">
        <v>144</v>
      </c>
      <c r="D20" s="3"/>
      <c r="E20" s="4"/>
      <c r="F20" s="13">
        <v>9.23</v>
      </c>
      <c r="G20" s="14">
        <v>785.12366699999995</v>
      </c>
      <c r="H20" s="51">
        <f>_xll.SNL.Clients.Office.Excel.Functions.SPG($A$3, "IQ_Total_debt","FQ0",B20)</f>
        <v>1160695.6429999999</v>
      </c>
      <c r="I20" s="60">
        <f>_xll.SNL.Clients.Office.Excel.Functions.SPG($A$3, "sp_shares_out",$B20)</f>
        <v>85591134</v>
      </c>
      <c r="J20" s="18">
        <v>33.793424000000002</v>
      </c>
      <c r="K20" s="25">
        <f>(J20*1000000)/I20</f>
        <v>0.39482388444578853</v>
      </c>
      <c r="L20" s="79">
        <f>_xll.SNL.Clients.Office.Excel.Functions.SPG($A$3, "IQ_Common_div_declared", "FQ0", $B20)</f>
        <v>0.34</v>
      </c>
      <c r="M20" s="26">
        <f>K20/L20</f>
        <v>1.1612467189582014</v>
      </c>
      <c r="N20" s="81">
        <v>5.5999999999999987E-2</v>
      </c>
      <c r="O20" s="81">
        <v>0.14399999999999999</v>
      </c>
      <c r="P20" s="16">
        <v>0.33100000000000002</v>
      </c>
      <c r="Q20" s="14">
        <v>2019.214062</v>
      </c>
      <c r="R20" s="14">
        <v>1794.7583360000001</v>
      </c>
      <c r="S20" s="8">
        <f>IF(R20&gt;0,R20/Q20,"")</f>
        <v>0.88884005404673139</v>
      </c>
      <c r="T20" s="54">
        <f>_xll.SNL.Clients.Office.Excel.Functions.SPG($A$3, "iq_ebt_excl", "FQ0", B20)/1000</f>
        <v>34.073438000000003</v>
      </c>
      <c r="U20" s="53">
        <f>T20-J20</f>
        <v>0.28001400000000132</v>
      </c>
      <c r="V20" s="25">
        <f>T20*1000000/I20</f>
        <v>0.39809541488257416</v>
      </c>
      <c r="W20" s="26">
        <f>V20/L20</f>
        <v>1.1708688673016887</v>
      </c>
    </row>
    <row r="21" spans="1:23" x14ac:dyDescent="0.25">
      <c r="A21" s="1" t="s">
        <v>69</v>
      </c>
      <c r="B21" s="2" t="s">
        <v>70</v>
      </c>
      <c r="C21" s="2" t="s">
        <v>145</v>
      </c>
      <c r="D21" s="3"/>
      <c r="E21" s="4"/>
      <c r="F21" s="11">
        <v>9.18</v>
      </c>
      <c r="G21" s="12">
        <v>781.31892400000004</v>
      </c>
      <c r="H21" s="51">
        <f>_xll.SNL.Clients.Office.Excel.Functions.SPG($A$3, "IQ_Total_debt","FQ0",B21)</f>
        <v>1119072.0549999999</v>
      </c>
      <c r="I21" s="60">
        <f>_xll.SNL.Clients.Office.Excel.Functions.SPG($A$3, "sp_shares_out",$B21)</f>
        <v>85077297</v>
      </c>
      <c r="J21" s="17">
        <v>32.202669</v>
      </c>
      <c r="K21" s="25">
        <f>(J21*1000000)/I21</f>
        <v>0.37851072066852337</v>
      </c>
      <c r="L21" s="79">
        <f>_xll.SNL.Clients.Office.Excel.Functions.SPG($A$3, "IQ_Common_div_declared", "FQ0", $B21)</f>
        <v>0.34</v>
      </c>
      <c r="M21" s="26">
        <f>K21/L21</f>
        <v>1.1132668254956568</v>
      </c>
      <c r="N21" s="82">
        <v>4.3999999999999997E-2</v>
      </c>
      <c r="O21" s="82">
        <v>0.126</v>
      </c>
      <c r="P21" s="15">
        <v>0.315</v>
      </c>
      <c r="Q21" s="12">
        <v>1964.187506</v>
      </c>
      <c r="R21" s="12">
        <v>1769.273768</v>
      </c>
      <c r="S21" s="5">
        <f>IF(R21&gt;0,R21/Q21,"")</f>
        <v>0.9007662265417139</v>
      </c>
      <c r="T21" s="54">
        <f>_xll.SNL.Clients.Office.Excel.Functions.SPG($A$3, "iq_ebt_excl", "FQ0", B21)/1000</f>
        <v>34.245593</v>
      </c>
      <c r="U21" s="53">
        <f>T21-J21</f>
        <v>2.0429239999999993</v>
      </c>
      <c r="V21" s="25">
        <f>T21*1000000/I21</f>
        <v>0.40252328420824185</v>
      </c>
      <c r="W21" s="26">
        <f>V21/L21</f>
        <v>1.1838920123771819</v>
      </c>
    </row>
    <row r="22" spans="1:23" x14ac:dyDescent="0.25">
      <c r="A22" s="6" t="s">
        <v>72</v>
      </c>
      <c r="B22" s="7" t="s">
        <v>73</v>
      </c>
      <c r="C22" s="7" t="s">
        <v>146</v>
      </c>
      <c r="D22" s="3"/>
      <c r="E22" s="4"/>
      <c r="F22" s="13">
        <v>8.7100000000000009</v>
      </c>
      <c r="G22" s="14">
        <v>740.47693800000002</v>
      </c>
      <c r="H22" s="51">
        <f>_xll.SNL.Clients.Office.Excel.Functions.SPG($A$3, "IQ_Total_debt","FQ0",B22)</f>
        <v>1099644.7220000001</v>
      </c>
      <c r="I22" s="60">
        <f>_xll.SNL.Clients.Office.Excel.Functions.SPG($A$3, "sp_shares_out",$B22)</f>
        <v>85037797</v>
      </c>
      <c r="J22" s="18">
        <v>27.594674999999999</v>
      </c>
      <c r="K22" s="25">
        <f>(J22*1000000)/I22</f>
        <v>0.32449894015951519</v>
      </c>
      <c r="L22" s="79">
        <f>_xll.SNL.Clients.Office.Excel.Functions.SPG($A$3, "IQ_Common_div_declared", "FQ0", $B22)</f>
        <v>0.25</v>
      </c>
      <c r="M22" s="26">
        <f>K22/L22</f>
        <v>1.2979957606380608</v>
      </c>
      <c r="N22" s="81">
        <v>3.7000000000000012E-2</v>
      </c>
      <c r="O22" s="81">
        <v>0.104</v>
      </c>
      <c r="P22" s="16">
        <v>0.311</v>
      </c>
      <c r="Q22" s="14">
        <v>1964.43127</v>
      </c>
      <c r="R22" s="14">
        <v>1792.3348430000001</v>
      </c>
      <c r="S22" s="8">
        <f>IF(R22&gt;0,R22/Q22,"")</f>
        <v>0.91239376524483851</v>
      </c>
      <c r="T22" s="54">
        <f>_xll.SNL.Clients.Office.Excel.Functions.SPG($A$3, "iq_ebt_excl", "FQ0", B22)/1000</f>
        <v>32.211439999999996</v>
      </c>
      <c r="U22" s="53">
        <f>T22-J22</f>
        <v>4.6167649999999973</v>
      </c>
      <c r="V22" s="25">
        <f>T22*1000000/I22</f>
        <v>0.37878968101678356</v>
      </c>
      <c r="W22" s="26">
        <f>V22/L22</f>
        <v>1.5151587240671343</v>
      </c>
    </row>
    <row r="23" spans="1:23" x14ac:dyDescent="0.25">
      <c r="A23" s="1" t="s">
        <v>75</v>
      </c>
      <c r="B23" s="2" t="s">
        <v>76</v>
      </c>
      <c r="C23" s="2" t="s">
        <v>147</v>
      </c>
      <c r="D23" s="3"/>
      <c r="E23" s="4"/>
      <c r="F23" s="11">
        <v>8.7100000000000009</v>
      </c>
      <c r="G23" s="12">
        <v>740.02366300000006</v>
      </c>
      <c r="H23" s="51">
        <f>_xll.SNL.Clients.Office.Excel.Functions.SPG($A$3, "IQ_Total_debt","FQ0",B23)</f>
        <v>1174640.591</v>
      </c>
      <c r="I23" s="60">
        <f>_xll.SNL.Clients.Office.Excel.Functions.SPG($A$3, "sp_shares_out",$B23)</f>
        <v>85036467</v>
      </c>
      <c r="J23" s="17">
        <v>27.281272999999999</v>
      </c>
      <c r="K23" s="25">
        <f>(J23*1000000)/I23</f>
        <v>0.32081851424989233</v>
      </c>
      <c r="L23" s="79">
        <f>_xll.SNL.Clients.Office.Excel.Functions.SPG($A$3, "IQ_Common_div_declared", "FQ0", $B23)</f>
        <v>0.25</v>
      </c>
      <c r="M23" s="26">
        <f>K23/L23</f>
        <v>1.2832740569995693</v>
      </c>
      <c r="N23" s="82">
        <v>3.5000000000000003E-2</v>
      </c>
      <c r="O23" s="82">
        <v>7.0000000000000007E-2</v>
      </c>
      <c r="P23" s="15">
        <v>0.30700000000000011</v>
      </c>
      <c r="Q23" s="12">
        <v>1795.0126949999999</v>
      </c>
      <c r="R23" s="12">
        <v>1716.691417</v>
      </c>
      <c r="S23" s="5">
        <f>IF(R23&gt;0,R23/Q23,"")</f>
        <v>0.95636728463360543</v>
      </c>
      <c r="T23" s="54">
        <f>_xll.SNL.Clients.Office.Excel.Functions.SPG($A$3, "iq_ebt_excl", "FQ0", B23)/1000</f>
        <v>27.567097</v>
      </c>
      <c r="U23" s="53">
        <f>T23-J23</f>
        <v>0.28582400000000163</v>
      </c>
      <c r="V23" s="25">
        <f>T23*1000000/I23</f>
        <v>0.32417970751301323</v>
      </c>
      <c r="W23" s="26">
        <f>V23/L23</f>
        <v>1.2967188300520529</v>
      </c>
    </row>
    <row r="24" spans="1:23" x14ac:dyDescent="0.25">
      <c r="A24" s="6" t="s">
        <v>78</v>
      </c>
      <c r="B24" s="7" t="s">
        <v>79</v>
      </c>
      <c r="C24" s="7" t="s">
        <v>148</v>
      </c>
      <c r="D24" s="3"/>
      <c r="E24" s="4"/>
      <c r="F24" s="13">
        <v>7.07</v>
      </c>
      <c r="G24" s="14">
        <v>598.01319699999999</v>
      </c>
      <c r="H24" s="51">
        <f>_xll.SNL.Clients.Office.Excel.Functions.SPG($A$3, "IQ_Total_debt","FQ0",B24)</f>
        <v>1051615.3089999999</v>
      </c>
      <c r="I24" s="60">
        <f>_xll.SNL.Clients.Office.Excel.Functions.SPG($A$3, "sp_shares_out",$B24)</f>
        <v>84841037</v>
      </c>
      <c r="J24" s="18">
        <v>22.059885000000001</v>
      </c>
      <c r="K24" s="25">
        <f>(J24*1000000)/I24</f>
        <v>0.26001432537888475</v>
      </c>
      <c r="L24" s="79">
        <f>_xll.SNL.Clients.Office.Excel.Functions.SPG($A$3, "IQ_Common_div_declared", "FQ0", $B24)</f>
        <v>0.25</v>
      </c>
      <c r="M24" s="26">
        <f>K24/L24</f>
        <v>1.040057301515539</v>
      </c>
      <c r="N24" s="81">
        <v>0.04</v>
      </c>
      <c r="O24" s="81">
        <v>9.6999999999999989E-2</v>
      </c>
      <c r="P24" s="16">
        <v>0.32400000000000001</v>
      </c>
      <c r="Q24" s="14">
        <v>1678.046196</v>
      </c>
      <c r="R24" s="14">
        <v>1533.3024720000001</v>
      </c>
      <c r="S24" s="8">
        <f>IF(R24&gt;0,R24/Q24,"")</f>
        <v>0.91374270604407126</v>
      </c>
      <c r="T24" s="54">
        <f>_xll.SNL.Clients.Office.Excel.Functions.SPG($A$3, "iq_ebt_excl", "FQ0", B24)/1000</f>
        <v>27.281273000000002</v>
      </c>
      <c r="U24" s="53">
        <f>T24-J24</f>
        <v>5.221388000000001</v>
      </c>
      <c r="V24" s="25">
        <f>T24*1000000/I24</f>
        <v>0.32155751467299964</v>
      </c>
      <c r="W24" s="26">
        <f>V24/L24</f>
        <v>1.2862300586919986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3AED"/>
  </sheetPr>
  <dimension ref="A1:W24"/>
  <sheetViews>
    <sheetView tabSelected="1" workbookViewId="0">
      <pane xSplit="3" ySplit="4" topLeftCell="D5" activePane="bottomRight" state="frozen"/>
      <selection pane="topRight"/>
      <selection pane="bottomLeft"/>
      <selection pane="bottomRight" activeCell="D5" sqref="D5"/>
    </sheetView>
    <sheetView workbookViewId="1">
      <selection sqref="A1:S1"/>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3" ht="16.5" x14ac:dyDescent="0.25">
      <c r="A1" s="57" t="s">
        <v>149</v>
      </c>
      <c r="B1" s="56"/>
      <c r="C1" s="56"/>
      <c r="D1" s="56"/>
      <c r="E1" s="56"/>
      <c r="F1" s="56"/>
      <c r="G1" s="56"/>
      <c r="H1" s="56"/>
      <c r="N1" s="56"/>
      <c r="O1" s="56"/>
      <c r="P1" s="56"/>
      <c r="Q1" s="56"/>
      <c r="R1" s="56"/>
      <c r="S1" s="56"/>
    </row>
    <row r="2" spans="1:23" x14ac:dyDescent="0.25">
      <c r="A2" s="55" t="s">
        <v>1</v>
      </c>
      <c r="B2" s="56"/>
      <c r="C2" s="56"/>
      <c r="D2" s="56"/>
      <c r="E2" s="56"/>
      <c r="F2" s="56"/>
      <c r="G2" s="56"/>
      <c r="H2" s="56"/>
      <c r="N2" s="56"/>
      <c r="O2" s="56"/>
      <c r="P2" s="56"/>
      <c r="Q2" s="56"/>
      <c r="R2" s="56"/>
      <c r="S2" s="56"/>
    </row>
    <row r="3" spans="1:23" x14ac:dyDescent="0.25">
      <c r="A3" s="27" t="s">
        <v>171</v>
      </c>
    </row>
    <row r="4" spans="1:23" ht="43.5" thickBot="1" x14ac:dyDescent="0.3">
      <c r="A4" s="19" t="s">
        <v>2</v>
      </c>
      <c r="B4" s="19" t="s">
        <v>3</v>
      </c>
      <c r="C4" s="19" t="s">
        <v>4</v>
      </c>
      <c r="D4" s="20" t="s">
        <v>5</v>
      </c>
      <c r="E4" s="20" t="s">
        <v>6</v>
      </c>
      <c r="F4" s="19" t="s">
        <v>7</v>
      </c>
      <c r="G4" s="19" t="s">
        <v>8</v>
      </c>
      <c r="H4" s="19" t="s">
        <v>9</v>
      </c>
      <c r="I4" s="19" t="s">
        <v>10</v>
      </c>
      <c r="J4" s="19" t="s">
        <v>20</v>
      </c>
      <c r="K4" s="19" t="s">
        <v>11</v>
      </c>
      <c r="L4" s="19" t="s">
        <v>12</v>
      </c>
      <c r="M4" s="19" t="s">
        <v>13</v>
      </c>
      <c r="N4" s="19" t="s">
        <v>15</v>
      </c>
      <c r="O4" s="19" t="s">
        <v>16</v>
      </c>
      <c r="P4" s="19" t="s">
        <v>17</v>
      </c>
      <c r="Q4" s="19" t="s">
        <v>18</v>
      </c>
      <c r="R4" s="19" t="s">
        <v>19</v>
      </c>
      <c r="S4" s="19" t="s">
        <v>14</v>
      </c>
      <c r="T4" s="21" t="s">
        <v>172</v>
      </c>
      <c r="U4" s="21" t="s">
        <v>173</v>
      </c>
      <c r="V4" s="21" t="s">
        <v>174</v>
      </c>
      <c r="W4" s="21" t="s">
        <v>175</v>
      </c>
    </row>
    <row r="5" spans="1:23" x14ac:dyDescent="0.25">
      <c r="A5" s="1" t="s">
        <v>21</v>
      </c>
      <c r="B5" s="2" t="s">
        <v>22</v>
      </c>
      <c r="C5" s="2" t="s">
        <v>150</v>
      </c>
      <c r="D5" s="3"/>
      <c r="E5" s="4"/>
      <c r="F5" s="11">
        <v>16.47</v>
      </c>
      <c r="G5" s="12">
        <v>1185.3320000000001</v>
      </c>
      <c r="H5" s="51">
        <f>_xll.SNL.Clients.Office.Excel.Functions.SPG($A$3, "IQ_Total_debt","FQ0",B5)</f>
        <v>1110363</v>
      </c>
      <c r="I5" s="60">
        <f>_xll.SNL.Clients.Office.Excel.Functions.SPG($A$3, "sp_shares_out",$B5)</f>
        <v>71945802</v>
      </c>
      <c r="J5" s="17">
        <v>32.31</v>
      </c>
      <c r="K5" s="25">
        <f>(J5*1000000)/I5</f>
        <v>0.44908805103041322</v>
      </c>
      <c r="L5" s="79">
        <f>_xll.SNL.Clients.Office.Excel.Functions.SPG($A$3, "IQ_Common_div_declared", "FQ0", $B5)</f>
        <v>0.46</v>
      </c>
      <c r="M5" s="26">
        <f>K5/L5</f>
        <v>0.97627837180524613</v>
      </c>
      <c r="N5" s="15">
        <v>0</v>
      </c>
      <c r="O5" s="15">
        <v>1E-3</v>
      </c>
      <c r="P5" s="9"/>
      <c r="Q5" s="12">
        <v>2331.46</v>
      </c>
      <c r="R5" s="12">
        <v>2382.7460000000001</v>
      </c>
      <c r="S5" s="5">
        <f>IF(R5&gt;0,R5/Q5,"")</f>
        <v>1.0219973750353857</v>
      </c>
      <c r="T5" s="54">
        <f>_xll.SNL.Clients.Office.Excel.Functions.SPG($A$3, "iq_ebt_excl", "FQ0", C5)/1000</f>
        <v>31.082000000000001</v>
      </c>
      <c r="U5" s="53">
        <f>T5-J5</f>
        <v>-1.2280000000000015</v>
      </c>
      <c r="V5" s="25">
        <f>T5*1000000/I5</f>
        <v>0.43201964723389974</v>
      </c>
      <c r="W5" s="26">
        <f>V5/L5</f>
        <v>0.93917314616065162</v>
      </c>
    </row>
    <row r="6" spans="1:23" x14ac:dyDescent="0.25">
      <c r="A6" s="6" t="s">
        <v>24</v>
      </c>
      <c r="B6" s="7" t="s">
        <v>25</v>
      </c>
      <c r="C6" s="7" t="s">
        <v>151</v>
      </c>
      <c r="D6" s="3"/>
      <c r="E6" s="4"/>
      <c r="F6" s="13">
        <v>16.850000000000001</v>
      </c>
      <c r="G6" s="14">
        <v>1223.8130000000001</v>
      </c>
      <c r="H6" s="51">
        <f>_xll.SNL.Clients.Office.Excel.Functions.SPG($A$3, "IQ_Total_debt","FQ0",B6)</f>
        <v>1070633</v>
      </c>
      <c r="I6" s="60">
        <f>_xll.SNL.Clients.Office.Excel.Functions.SPG($A$3, "sp_shares_out",$B6)</f>
        <v>72618759</v>
      </c>
      <c r="J6" s="18">
        <v>27.388000000000002</v>
      </c>
      <c r="K6" s="25">
        <f>(J6*1000000)/I6</f>
        <v>0.37714772845402111</v>
      </c>
      <c r="L6" s="79" t="str">
        <f>_xll.SNL.Clients.Office.Excel.Functions.SPG($A$3, "IQ_Common_div_declared", "FQ0", $B6)</f>
        <v>NA</v>
      </c>
      <c r="M6" s="26" t="e">
        <f>K6/L6</f>
        <v>#VALUE!</v>
      </c>
      <c r="N6" s="16">
        <v>0</v>
      </c>
      <c r="O6" s="16">
        <v>1E-3</v>
      </c>
      <c r="P6" s="10"/>
      <c r="Q6" s="14">
        <v>2488.7539999999999</v>
      </c>
      <c r="R6" s="14">
        <v>2569.9920000000002</v>
      </c>
      <c r="S6" s="8">
        <f>IF(R6&gt;0,R6/Q6,"")</f>
        <v>1.0326420369389664</v>
      </c>
      <c r="T6" s="54">
        <f>_xll.SNL.Clients.Office.Excel.Functions.SPG($A$3, "iq_ebt_excl", "FQ0", C6)/1000</f>
        <v>26.545999999999999</v>
      </c>
      <c r="U6" s="53">
        <f>T6-J6</f>
        <v>-0.8420000000000023</v>
      </c>
      <c r="V6" s="25">
        <f>T6*1000000/I6</f>
        <v>0.36555292827298247</v>
      </c>
      <c r="W6" s="26" t="e">
        <f>V6/L6</f>
        <v>#VALUE!</v>
      </c>
    </row>
    <row r="7" spans="1:23" x14ac:dyDescent="0.25">
      <c r="A7" s="1" t="s">
        <v>27</v>
      </c>
      <c r="B7" s="2" t="s">
        <v>28</v>
      </c>
      <c r="C7" s="2" t="s">
        <v>152</v>
      </c>
      <c r="D7" s="3"/>
      <c r="E7" s="4"/>
      <c r="F7" s="11">
        <v>17.18</v>
      </c>
      <c r="G7" s="12">
        <v>1251.845</v>
      </c>
      <c r="H7" s="51">
        <f>_xll.SNL.Clients.Office.Excel.Functions.SPG($A$3, "IQ_Total_debt","FQ0",B7)</f>
        <v>1304841</v>
      </c>
      <c r="I7" s="60">
        <f>_xll.SNL.Clients.Office.Excel.Functions.SPG($A$3, "sp_shares_out",$B7)</f>
        <v>72837125</v>
      </c>
      <c r="J7" s="17">
        <v>36.47</v>
      </c>
      <c r="K7" s="25">
        <f>(J7*1000000)/I7</f>
        <v>0.50070619893357959</v>
      </c>
      <c r="L7" s="79">
        <f>_xll.SNL.Clients.Office.Excel.Functions.SPG($A$3, "IQ_Common_div_declared", "FQ0", $B7)</f>
        <v>0.43</v>
      </c>
      <c r="M7" s="26">
        <f>K7/L7</f>
        <v>1.1644330207757665</v>
      </c>
      <c r="N7" s="15">
        <v>0</v>
      </c>
      <c r="O7" s="15">
        <v>1E-3</v>
      </c>
      <c r="P7" s="9"/>
      <c r="Q7" s="12">
        <v>2298.39</v>
      </c>
      <c r="R7" s="12">
        <v>2406.4650000000001</v>
      </c>
      <c r="S7" s="5">
        <f>IF(R7&gt;0,R7/Q7,"")</f>
        <v>1.0470220458668895</v>
      </c>
      <c r="T7" s="54">
        <f>_xll.SNL.Clients.Office.Excel.Functions.SPG($A$3, "iq_ebt_excl", "FQ0", C7)/1000</f>
        <v>38.734999999999999</v>
      </c>
      <c r="U7" s="53">
        <f>T7-J7</f>
        <v>2.2650000000000006</v>
      </c>
      <c r="V7" s="25">
        <f>T7*1000000/I7</f>
        <v>0.53180297822024136</v>
      </c>
      <c r="W7" s="26">
        <f>V7/L7</f>
        <v>1.2367511121400963</v>
      </c>
    </row>
    <row r="8" spans="1:23" x14ac:dyDescent="0.25">
      <c r="A8" s="6" t="s">
        <v>30</v>
      </c>
      <c r="B8" s="7" t="s">
        <v>31</v>
      </c>
      <c r="C8" s="7" t="s">
        <v>153</v>
      </c>
      <c r="D8" s="3"/>
      <c r="E8" s="4"/>
      <c r="F8" s="13">
        <v>16.84</v>
      </c>
      <c r="G8" s="14">
        <v>1275</v>
      </c>
      <c r="H8" s="51">
        <f>_xll.SNL.Clients.Office.Excel.Functions.SPG($A$3, "IQ_Total_debt","FQ0",B8)</f>
        <v>1103114</v>
      </c>
      <c r="I8" s="60">
        <f>_xll.SNL.Clients.Office.Excel.Functions.SPG($A$3, "sp_shares_out",$B8)</f>
        <v>73103668</v>
      </c>
      <c r="J8" s="18">
        <v>46.191000000000003</v>
      </c>
      <c r="K8" s="25">
        <f>(J8*1000000)/I8</f>
        <v>0.63185611972302125</v>
      </c>
      <c r="L8" s="79">
        <f>_xll.SNL.Clients.Office.Excel.Functions.SPG($A$3, "IQ_Common_div_declared", "FQ0", $B8)</f>
        <v>0.48</v>
      </c>
      <c r="M8" s="26">
        <f>K8/L8</f>
        <v>1.3163669160896276</v>
      </c>
      <c r="N8" s="16">
        <v>0</v>
      </c>
      <c r="O8" s="16">
        <v>1E-3</v>
      </c>
      <c r="P8" s="10"/>
      <c r="Q8" s="14">
        <v>2432.0120000000002</v>
      </c>
      <c r="R8" s="14">
        <v>2521.5929999999998</v>
      </c>
      <c r="S8" s="8">
        <f>IF(R8&gt;0,R8/Q8,"")</f>
        <v>1.0368341110158994</v>
      </c>
      <c r="T8" s="54">
        <f>_xll.SNL.Clients.Office.Excel.Functions.SPG($A$3, "iq_ebt_excl", "FQ0", C8)/1000</f>
        <v>39.15</v>
      </c>
      <c r="U8" s="53">
        <f>T8-J8</f>
        <v>-7.0410000000000039</v>
      </c>
      <c r="V8" s="25">
        <f>T8*1000000/I8</f>
        <v>0.53554084317629591</v>
      </c>
      <c r="W8" s="26">
        <f>V8/L8</f>
        <v>1.1157100899506165</v>
      </c>
    </row>
    <row r="9" spans="1:23" x14ac:dyDescent="0.25">
      <c r="A9" s="1" t="s">
        <v>33</v>
      </c>
      <c r="B9" s="2" t="s">
        <v>34</v>
      </c>
      <c r="C9" s="2" t="s">
        <v>154</v>
      </c>
      <c r="D9" s="3"/>
      <c r="E9" s="4"/>
      <c r="F9" s="11">
        <v>16.88</v>
      </c>
      <c r="G9" s="12">
        <v>1283.9849999999999</v>
      </c>
      <c r="H9" s="51">
        <f>_xll.SNL.Clients.Office.Excel.Functions.SPG($A$3, "IQ_Total_debt","FQ0",B9)</f>
        <v>1185964</v>
      </c>
      <c r="I9" s="60">
        <f>_xll.SNL.Clients.Office.Excel.Functions.SPG($A$3, "sp_shares_out",$B9)</f>
        <v>76005084</v>
      </c>
      <c r="J9" s="17">
        <v>35.712000000000003</v>
      </c>
      <c r="K9" s="25">
        <f>(J9*1000000)/I9</f>
        <v>0.46986330545993477</v>
      </c>
      <c r="L9" s="79">
        <f>_xll.SNL.Clients.Office.Excel.Functions.SPG($A$3, "IQ_Common_div_declared", "FQ0", $B9)</f>
        <v>0.52</v>
      </c>
      <c r="M9" s="26">
        <f>K9/L9</f>
        <v>0.90358327973064378</v>
      </c>
      <c r="N9" s="15">
        <v>0</v>
      </c>
      <c r="O9" s="15">
        <v>1E-3</v>
      </c>
      <c r="P9" s="9"/>
      <c r="Q9" s="12">
        <v>2366.0300000000002</v>
      </c>
      <c r="R9" s="12">
        <v>2451.8589999999999</v>
      </c>
      <c r="S9" s="5">
        <f>IF(R9&gt;0,R9/Q9,"")</f>
        <v>1.0362755332772617</v>
      </c>
      <c r="T9" s="54">
        <f>_xll.SNL.Clients.Office.Excel.Functions.SPG($A$3, "iq_ebt_excl", "FQ0", C9)/1000</f>
        <v>31.306000000000001</v>
      </c>
      <c r="U9" s="53">
        <f>T9-J9</f>
        <v>-4.4060000000000024</v>
      </c>
      <c r="V9" s="25">
        <f>T9*1000000/I9</f>
        <v>0.41189349912434803</v>
      </c>
      <c r="W9" s="26">
        <f>V9/L9</f>
        <v>0.79210288293143849</v>
      </c>
    </row>
    <row r="10" spans="1:23" x14ac:dyDescent="0.25">
      <c r="A10" s="6" t="s">
        <v>36</v>
      </c>
      <c r="B10" s="7" t="s">
        <v>37</v>
      </c>
      <c r="C10" s="7" t="s">
        <v>155</v>
      </c>
      <c r="D10" s="3"/>
      <c r="E10" s="4"/>
      <c r="F10" s="13">
        <v>16.27</v>
      </c>
      <c r="G10" s="14">
        <v>1241.9590000000001</v>
      </c>
      <c r="H10" s="51">
        <f>_xll.SNL.Clients.Office.Excel.Functions.SPG($A$3, "IQ_Total_debt","FQ0",B10)</f>
        <v>1121190</v>
      </c>
      <c r="I10" s="60">
        <f>_xll.SNL.Clients.Office.Excel.Functions.SPG($A$3, "sp_shares_out",$B10)</f>
        <v>76310056</v>
      </c>
      <c r="J10" s="18">
        <v>40.822000000000003</v>
      </c>
      <c r="K10" s="25">
        <f>(J10*1000000)/I10</f>
        <v>0.53494915532495479</v>
      </c>
      <c r="L10" s="79">
        <f>_xll.SNL.Clients.Office.Excel.Functions.SPG($A$3, "IQ_Common_div_declared", "FQ0", $B10)</f>
        <v>0.45</v>
      </c>
      <c r="M10" s="26">
        <f>K10/L10</f>
        <v>1.1887759007221217</v>
      </c>
      <c r="N10" s="16">
        <v>0</v>
      </c>
      <c r="O10" s="16">
        <v>1E-3</v>
      </c>
      <c r="P10" s="10"/>
      <c r="Q10" s="14">
        <v>2511.3330000000001</v>
      </c>
      <c r="R10" s="14">
        <v>2536.39</v>
      </c>
      <c r="S10" s="8">
        <f>IF(R10&gt;0,R10/Q10,"")</f>
        <v>1.0099775696811215</v>
      </c>
      <c r="T10" s="54">
        <f>_xll.SNL.Clients.Office.Excel.Functions.SPG($A$3, "iq_ebt_excl", "FQ0", C10)/1000</f>
        <v>47.573999999999998</v>
      </c>
      <c r="U10" s="53">
        <f>T10-J10</f>
        <v>6.7519999999999953</v>
      </c>
      <c r="V10" s="25">
        <f>T10*1000000/I10</f>
        <v>0.62343028551833324</v>
      </c>
      <c r="W10" s="26">
        <f>V10/L10</f>
        <v>1.385400634485185</v>
      </c>
    </row>
    <row r="11" spans="1:23" x14ac:dyDescent="0.25">
      <c r="A11" s="1" t="s">
        <v>39</v>
      </c>
      <c r="B11" s="2" t="s">
        <v>40</v>
      </c>
      <c r="C11" s="2" t="s">
        <v>156</v>
      </c>
      <c r="D11" s="3"/>
      <c r="E11" s="4"/>
      <c r="F11" s="11">
        <v>16.36</v>
      </c>
      <c r="G11" s="12">
        <v>1328.0519999999999</v>
      </c>
      <c r="H11" s="51">
        <f>_xll.SNL.Clients.Office.Excel.Functions.SPG($A$3, "IQ_Total_debt","FQ0",B11)</f>
        <v>1254969</v>
      </c>
      <c r="I11" s="60">
        <f>_xll.SNL.Clients.Office.Excel.Functions.SPG($A$3, "sp_shares_out",$B11)</f>
        <v>80993977</v>
      </c>
      <c r="J11" s="17">
        <v>37.18</v>
      </c>
      <c r="K11" s="25">
        <f>(J11*1000000)/I11</f>
        <v>0.45904647946846716</v>
      </c>
      <c r="L11" s="79">
        <f>_xll.SNL.Clients.Office.Excel.Functions.SPG($A$3, "IQ_Common_div_declared", "FQ0", $B11)</f>
        <v>0.41</v>
      </c>
      <c r="M11" s="26">
        <f>K11/L11</f>
        <v>1.1196255596791882</v>
      </c>
      <c r="N11" s="15">
        <v>0</v>
      </c>
      <c r="O11" s="15">
        <v>1E-3</v>
      </c>
      <c r="P11" s="9"/>
      <c r="Q11" s="12">
        <v>2792.7730000000001</v>
      </c>
      <c r="R11" s="12">
        <v>2806.0630000000001</v>
      </c>
      <c r="S11" s="5">
        <f>IF(R11&gt;0,R11/Q11,"")</f>
        <v>1.0047587111448013</v>
      </c>
      <c r="T11" s="54">
        <f>_xll.SNL.Clients.Office.Excel.Functions.SPG($A$3, "iq_ebt_excl", "FQ0", C11)/1000</f>
        <v>46.22</v>
      </c>
      <c r="U11" s="53">
        <f>T11-J11</f>
        <v>9.0399999999999991</v>
      </c>
      <c r="V11" s="25">
        <f>T11*1000000/I11</f>
        <v>0.57065971707995022</v>
      </c>
      <c r="W11" s="26">
        <f>V11/L11</f>
        <v>1.3918529684876835</v>
      </c>
    </row>
    <row r="12" spans="1:23" x14ac:dyDescent="0.25">
      <c r="A12" s="6" t="s">
        <v>42</v>
      </c>
      <c r="B12" s="7" t="s">
        <v>43</v>
      </c>
      <c r="C12" s="7" t="s">
        <v>157</v>
      </c>
      <c r="D12" s="3"/>
      <c r="E12" s="4"/>
      <c r="F12" s="13">
        <v>16.48</v>
      </c>
      <c r="G12" s="14">
        <v>1341.569</v>
      </c>
      <c r="H12" s="51">
        <f>_xll.SNL.Clients.Office.Excel.Functions.SPG($A$3, "IQ_Total_debt","FQ0",B12)</f>
        <v>1457048</v>
      </c>
      <c r="I12" s="60">
        <f>_xll.SNL.Clients.Office.Excel.Functions.SPG($A$3, "sp_shares_out",$B12)</f>
        <v>80983301</v>
      </c>
      <c r="J12" s="18">
        <v>52.613</v>
      </c>
      <c r="K12" s="25">
        <f>(J12*1000000)/I12</f>
        <v>0.64967714763812856</v>
      </c>
      <c r="L12" s="79">
        <f>_xll.SNL.Clients.Office.Excel.Functions.SPG($A$3, "IQ_Common_div_declared", "FQ0", $B12)</f>
        <v>0.42</v>
      </c>
      <c r="M12" s="26">
        <f>K12/L12</f>
        <v>1.5468503515193537</v>
      </c>
      <c r="N12" s="16">
        <v>0</v>
      </c>
      <c r="O12" s="16">
        <v>1E-3</v>
      </c>
      <c r="P12" s="10"/>
      <c r="Q12" s="14">
        <v>2774.7260000000001</v>
      </c>
      <c r="R12" s="14">
        <v>2787.9250000000002</v>
      </c>
      <c r="S12" s="8">
        <f>IF(R12&gt;0,R12/Q12,"")</f>
        <v>1.0047568660833539</v>
      </c>
      <c r="T12" s="54">
        <f>_xll.SNL.Clients.Office.Excel.Functions.SPG($A$3, "iq_ebt_excl", "FQ0", C12)/1000</f>
        <v>47.780999999999999</v>
      </c>
      <c r="U12" s="53">
        <f>T12-J12</f>
        <v>-4.8320000000000007</v>
      </c>
      <c r="V12" s="25">
        <f>T12*1000000/I12</f>
        <v>0.59001052575024082</v>
      </c>
      <c r="W12" s="26">
        <f>V12/L12</f>
        <v>1.404786966072002</v>
      </c>
    </row>
    <row r="13" spans="1:23" x14ac:dyDescent="0.25">
      <c r="A13" s="1" t="s">
        <v>45</v>
      </c>
      <c r="B13" s="2" t="s">
        <v>46</v>
      </c>
      <c r="C13" s="2" t="s">
        <v>110</v>
      </c>
      <c r="D13" s="3"/>
      <c r="E13" s="4"/>
      <c r="F13" s="11">
        <v>16.59</v>
      </c>
      <c r="G13" s="12">
        <v>1356.0050000000001</v>
      </c>
      <c r="H13" s="51">
        <f>_xll.SNL.Clients.Office.Excel.Functions.SPG($A$3, "IQ_Total_debt","FQ0",B13)</f>
        <v>1441796</v>
      </c>
      <c r="I13" s="60">
        <f>_xll.SNL.Clients.Office.Excel.Functions.SPG($A$3, "sp_shares_out",$B13)</f>
        <v>81389287</v>
      </c>
      <c r="J13" s="17">
        <v>42.936999999999998</v>
      </c>
      <c r="K13" s="25">
        <f>(J13*1000000)/I13</f>
        <v>0.52755100311912062</v>
      </c>
      <c r="L13" s="79">
        <f>_xll.SNL.Clients.Office.Excel.Functions.SPG($A$3, "IQ_Common_div_declared", "FQ0", $B13)</f>
        <v>0.54</v>
      </c>
      <c r="M13" s="26">
        <f>K13/L13</f>
        <v>0.97694630207244548</v>
      </c>
      <c r="N13" s="15">
        <v>6.9999999999999993E-3</v>
      </c>
      <c r="O13" s="15">
        <v>0.01</v>
      </c>
      <c r="P13" s="9"/>
      <c r="Q13" s="12">
        <v>2899.835</v>
      </c>
      <c r="R13" s="12">
        <v>2918.5839999999998</v>
      </c>
      <c r="S13" s="5">
        <f>IF(R13&gt;0,R13/Q13,"")</f>
        <v>1.0064655402807401</v>
      </c>
      <c r="T13" s="54">
        <f>_xll.SNL.Clients.Office.Excel.Functions.SPG($A$3, "iq_ebt_excl", "FQ0", C13)/1000</f>
        <v>43.000999999999998</v>
      </c>
      <c r="U13" s="53">
        <f>T13-J13</f>
        <v>6.4000000000000057E-2</v>
      </c>
      <c r="V13" s="25">
        <f>T13*1000000/I13</f>
        <v>0.52833734739560989</v>
      </c>
      <c r="W13" s="26">
        <f>V13/L13</f>
        <v>0.97840249517705524</v>
      </c>
    </row>
    <row r="14" spans="1:23" x14ac:dyDescent="0.25">
      <c r="A14" s="6" t="s">
        <v>48</v>
      </c>
      <c r="B14" s="7" t="s">
        <v>49</v>
      </c>
      <c r="C14" s="7" t="s">
        <v>141</v>
      </c>
      <c r="D14" s="3"/>
      <c r="E14" s="4"/>
      <c r="F14" s="13">
        <v>16.739999999999998</v>
      </c>
      <c r="G14" s="14">
        <v>1460.529</v>
      </c>
      <c r="H14" s="51">
        <f>_xll.SNL.Clients.Office.Excel.Functions.SPG($A$3, "IQ_Total_debt","FQ0",B14)</f>
        <v>1563036</v>
      </c>
      <c r="I14" s="60">
        <f>_xll.SNL.Clients.Office.Excel.Functions.SPG($A$3, "sp_shares_out",$B14)</f>
        <v>81751865</v>
      </c>
      <c r="J14" s="18">
        <v>48.783999999999999</v>
      </c>
      <c r="K14" s="25">
        <f>(J14*1000000)/I14</f>
        <v>0.5967325638381461</v>
      </c>
      <c r="L14" s="79">
        <f>_xll.SNL.Clients.Office.Excel.Functions.SPG($A$3, "IQ_Common_div_declared", "FQ0", $B14)</f>
        <v>0.5</v>
      </c>
      <c r="M14" s="26">
        <f>K14/L14</f>
        <v>1.1934651276762922</v>
      </c>
      <c r="N14" s="16">
        <v>6.0000000000000001E-3</v>
      </c>
      <c r="O14" s="16">
        <v>9.0000000000000011E-3</v>
      </c>
      <c r="P14" s="10"/>
      <c r="Q14" s="14">
        <v>3065.3589999999999</v>
      </c>
      <c r="R14" s="14">
        <v>3088.9870000000001</v>
      </c>
      <c r="S14" s="8">
        <f>IF(R14&gt;0,R14/Q14,"")</f>
        <v>1.0077080694300407</v>
      </c>
      <c r="T14" s="54">
        <f>_xll.SNL.Clients.Office.Excel.Functions.SPG($A$3, "iq_ebt_excl", "FQ0", C14)/1000</f>
        <v>47.49</v>
      </c>
      <c r="U14" s="53">
        <f>T14-J14</f>
        <v>-1.2939999999999969</v>
      </c>
      <c r="V14" s="25">
        <f>T14*1000000/I14</f>
        <v>0.58090417876093714</v>
      </c>
      <c r="W14" s="26">
        <f>V14/L14</f>
        <v>1.1618083575218743</v>
      </c>
    </row>
    <row r="15" spans="1:23" x14ac:dyDescent="0.25">
      <c r="A15" s="1" t="s">
        <v>51</v>
      </c>
      <c r="B15" s="2" t="s">
        <v>52</v>
      </c>
      <c r="C15" s="2" t="s">
        <v>142</v>
      </c>
      <c r="D15" s="3"/>
      <c r="E15" s="4"/>
      <c r="F15" s="11">
        <v>16.97</v>
      </c>
      <c r="G15" s="12">
        <v>1485.8219999999999</v>
      </c>
      <c r="H15" s="51">
        <f>_xll.SNL.Clients.Office.Excel.Functions.SPG($A$3, "IQ_Total_debt","FQ0",B15)</f>
        <v>1623301</v>
      </c>
      <c r="I15" s="60">
        <f>_xll.SNL.Clients.Office.Excel.Functions.SPG($A$3, "sp_shares_out",$B15)</f>
        <v>87241231</v>
      </c>
      <c r="J15" s="17">
        <v>49.994</v>
      </c>
      <c r="K15" s="25">
        <f>(J15*1000000)/I15</f>
        <v>0.573054729133751</v>
      </c>
      <c r="L15" s="79">
        <f>_xll.SNL.Clients.Office.Excel.Functions.SPG($A$3, "IQ_Common_div_declared", "FQ0", $B15)</f>
        <v>0.52</v>
      </c>
      <c r="M15" s="26">
        <f>K15/L15</f>
        <v>1.1020283252572134</v>
      </c>
      <c r="N15" s="15">
        <v>6.9999999999999993E-3</v>
      </c>
      <c r="O15" s="15">
        <v>9.0000000000000011E-3</v>
      </c>
      <c r="P15" s="9"/>
      <c r="Q15" s="12">
        <v>3085.3780000000002</v>
      </c>
      <c r="R15" s="12">
        <v>3113.277</v>
      </c>
      <c r="S15" s="5">
        <f>IF(R15&gt;0,R15/Q15,"")</f>
        <v>1.0090423280388983</v>
      </c>
      <c r="T15" s="54">
        <f>_xll.SNL.Clients.Office.Excel.Functions.SPG($A$3, "iq_ebt_excl", "FQ0", C15)/1000</f>
        <v>55.679000000000002</v>
      </c>
      <c r="U15" s="53">
        <f>T15-J15</f>
        <v>5.6850000000000023</v>
      </c>
      <c r="V15" s="25">
        <f>T15*1000000/I15</f>
        <v>0.63821887153334644</v>
      </c>
      <c r="W15" s="26">
        <f>V15/L15</f>
        <v>1.2273439837179738</v>
      </c>
    </row>
    <row r="16" spans="1:23" x14ac:dyDescent="0.25">
      <c r="A16" s="6" t="s">
        <v>54</v>
      </c>
      <c r="B16" s="7" t="s">
        <v>55</v>
      </c>
      <c r="C16" s="7" t="s">
        <v>158</v>
      </c>
      <c r="D16" s="3"/>
      <c r="E16" s="4"/>
      <c r="F16" s="13">
        <v>17.04</v>
      </c>
      <c r="G16" s="14">
        <v>1496.375</v>
      </c>
      <c r="H16" s="51">
        <f>_xll.SNL.Clients.Office.Excel.Functions.SPG($A$3, "IQ_Total_debt","FQ0",B16)</f>
        <v>1623010</v>
      </c>
      <c r="I16" s="60">
        <f>_xll.SNL.Clients.Office.Excel.Functions.SPG($A$3, "sp_shares_out",$B16)</f>
        <v>87546498</v>
      </c>
      <c r="J16" s="18">
        <v>54.683999999999997</v>
      </c>
      <c r="K16" s="25">
        <f>(J16*1000000)/I16</f>
        <v>0.6246280690747904</v>
      </c>
      <c r="L16" s="79">
        <f>_xll.SNL.Clients.Office.Excel.Functions.SPG($A$3, "IQ_Common_div_declared", "FQ0", $B16)</f>
        <v>0.53</v>
      </c>
      <c r="M16" s="26">
        <f>K16/L16</f>
        <v>1.1785435265562083</v>
      </c>
      <c r="N16" s="16">
        <v>6.0000000000000001E-3</v>
      </c>
      <c r="O16" s="16">
        <v>9.0000000000000011E-3</v>
      </c>
      <c r="P16" s="10"/>
      <c r="Q16" s="14">
        <v>3251.0120000000002</v>
      </c>
      <c r="R16" s="14">
        <v>3283.0650000000001</v>
      </c>
      <c r="S16" s="8">
        <f>IF(R16&gt;0,R16/Q16,"")</f>
        <v>1.0098593914756389</v>
      </c>
      <c r="T16" s="54">
        <f>_xll.SNL.Clients.Office.Excel.Functions.SPG($A$3, "iq_ebt_excl", "FQ0", C16)/1000</f>
        <v>46.554000000000002</v>
      </c>
      <c r="U16" s="53">
        <f>T16-J16</f>
        <v>-8.1299999999999955</v>
      </c>
      <c r="V16" s="25">
        <f>T16*1000000/I16</f>
        <v>0.53176313231855377</v>
      </c>
      <c r="W16" s="26">
        <f>V16/L16</f>
        <v>1.0033266647519883</v>
      </c>
    </row>
    <row r="17" spans="1:23" x14ac:dyDescent="0.25">
      <c r="A17" s="1" t="s">
        <v>57</v>
      </c>
      <c r="B17" s="2" t="s">
        <v>58</v>
      </c>
      <c r="C17" s="2" t="s">
        <v>59</v>
      </c>
      <c r="D17" s="3"/>
      <c r="E17" s="4"/>
      <c r="F17" s="11">
        <v>17.170000000000002</v>
      </c>
      <c r="G17" s="12">
        <v>1582.0060000000001</v>
      </c>
      <c r="H17" s="51">
        <f>_xll.SNL.Clients.Office.Excel.Functions.SPG($A$3, "IQ_Total_debt","FQ0",B17)</f>
        <v>1780307</v>
      </c>
      <c r="I17" s="60">
        <f>_xll.SNL.Clients.Office.Excel.Functions.SPG($A$3, "sp_shares_out",$B17)</f>
        <v>91829499</v>
      </c>
      <c r="J17" s="17">
        <v>52.362000000000002</v>
      </c>
      <c r="K17" s="25">
        <f>(J17*1000000)/I17</f>
        <v>0.57020892600100104</v>
      </c>
      <c r="L17" s="79">
        <f>_xll.SNL.Clients.Office.Excel.Functions.SPG($A$3, "IQ_Common_div_declared", "FQ0", $B17)</f>
        <v>0.54</v>
      </c>
      <c r="M17" s="26">
        <f>K17/L17</f>
        <v>1.0559424555574093</v>
      </c>
      <c r="N17" s="15">
        <v>1.0999999999999999E-2</v>
      </c>
      <c r="O17" s="15">
        <v>2.1999999999999999E-2</v>
      </c>
      <c r="P17" s="9"/>
      <c r="Q17" s="12">
        <v>3359.652</v>
      </c>
      <c r="R17" s="12">
        <v>3380.009</v>
      </c>
      <c r="S17" s="5">
        <f>IF(R17&gt;0,R17/Q17,"")</f>
        <v>1.0060592585184418</v>
      </c>
      <c r="T17" s="54">
        <f>_xll.SNL.Clients.Office.Excel.Functions.SPG($A$3, "iq_ebt_excl", "FQ0", C17)/1000</f>
        <v>57.83</v>
      </c>
      <c r="U17" s="53">
        <f>T17-J17</f>
        <v>5.4679999999999964</v>
      </c>
      <c r="V17" s="25">
        <f>T17*1000000/I17</f>
        <v>0.62975406192731165</v>
      </c>
      <c r="W17" s="26">
        <f>V17/L17</f>
        <v>1.1662112257913178</v>
      </c>
    </row>
    <row r="18" spans="1:23" x14ac:dyDescent="0.25">
      <c r="A18" s="6" t="s">
        <v>60</v>
      </c>
      <c r="B18" s="7" t="s">
        <v>61</v>
      </c>
      <c r="C18" s="7" t="s">
        <v>159</v>
      </c>
      <c r="D18" s="3"/>
      <c r="E18" s="4"/>
      <c r="F18" s="13">
        <v>17.190000000000001</v>
      </c>
      <c r="G18" s="14">
        <v>1599.0350000000001</v>
      </c>
      <c r="H18" s="51">
        <f>_xll.SNL.Clients.Office.Excel.Functions.SPG($A$3, "IQ_Total_debt","FQ0",B18)</f>
        <v>1804347</v>
      </c>
      <c r="I18" s="60">
        <f>_xll.SNL.Clients.Office.Excel.Functions.SPG($A$3, "sp_shares_out",$B18)</f>
        <v>92721556</v>
      </c>
      <c r="J18" s="18">
        <v>55.143000000000001</v>
      </c>
      <c r="K18" s="25">
        <f>(J18*1000000)/I18</f>
        <v>0.59471607659388293</v>
      </c>
      <c r="L18" s="79">
        <f>_xll.SNL.Clients.Office.Excel.Functions.SPG($A$3, "IQ_Common_div_declared", "FQ0", $B18)</f>
        <v>0.54</v>
      </c>
      <c r="M18" s="26">
        <f>K18/L18</f>
        <v>1.1013260677664498</v>
      </c>
      <c r="N18" s="16">
        <v>1.0999999999999999E-2</v>
      </c>
      <c r="O18" s="16">
        <v>2.1000000000000001E-2</v>
      </c>
      <c r="P18" s="10"/>
      <c r="Q18" s="14">
        <v>3304.5630000000001</v>
      </c>
      <c r="R18" s="14">
        <v>3317.069</v>
      </c>
      <c r="S18" s="8">
        <f>IF(R18&gt;0,R18/Q18,"")</f>
        <v>1.0037844640879898</v>
      </c>
      <c r="T18" s="54">
        <f>_xll.SNL.Clients.Office.Excel.Functions.SPG($A$3, "iq_ebt_excl", "FQ0", C18)/1000</f>
        <v>54.848999999999997</v>
      </c>
      <c r="U18" s="53">
        <f>T18-J18</f>
        <v>-0.29400000000000404</v>
      </c>
      <c r="V18" s="25">
        <f>T18*1000000/I18</f>
        <v>0.59154529287666402</v>
      </c>
      <c r="W18" s="26">
        <f>V18/L18</f>
        <v>1.0954542460678962</v>
      </c>
    </row>
    <row r="19" spans="1:23" x14ac:dyDescent="0.25">
      <c r="A19" s="1" t="s">
        <v>63</v>
      </c>
      <c r="B19" s="2" t="s">
        <v>64</v>
      </c>
      <c r="C19" s="2" t="s">
        <v>160</v>
      </c>
      <c r="D19" s="3"/>
      <c r="E19" s="4"/>
      <c r="F19" s="11">
        <v>17.12</v>
      </c>
      <c r="G19" s="12">
        <v>1597.181</v>
      </c>
      <c r="H19" s="51">
        <f>_xll.SNL.Clients.Office.Excel.Functions.SPG($A$3, "IQ_Total_debt","FQ0",B19)</f>
        <v>1712905</v>
      </c>
      <c r="I19" s="60">
        <f>_xll.SNL.Clients.Office.Excel.Functions.SPG($A$3, "sp_shares_out",$B19)</f>
        <v>93017205</v>
      </c>
      <c r="J19" s="17">
        <v>54.926000000000002</v>
      </c>
      <c r="K19" s="25">
        <f>(J19*1000000)/I19</f>
        <v>0.59049290934940479</v>
      </c>
      <c r="L19" s="79">
        <f>_xll.SNL.Clients.Office.Excel.Functions.SPG($A$3, "IQ_Common_div_declared", "FQ0", $B19)</f>
        <v>0.52</v>
      </c>
      <c r="M19" s="26">
        <f>K19/L19</f>
        <v>1.1355632872103938</v>
      </c>
      <c r="N19" s="15">
        <v>1.9E-2</v>
      </c>
      <c r="O19" s="15">
        <v>3.7999999999999999E-2</v>
      </c>
      <c r="P19" s="9"/>
      <c r="Q19" s="12">
        <v>3431.09</v>
      </c>
      <c r="R19" s="12">
        <v>3441.0749999999998</v>
      </c>
      <c r="S19" s="5">
        <f>IF(R19&gt;0,R19/Q19,"")</f>
        <v>1.0029101539161023</v>
      </c>
      <c r="T19" s="54">
        <f>_xll.SNL.Clients.Office.Excel.Functions.SPG($A$3, "iq_ebt_excl", "FQ0", C19)/1000</f>
        <v>45.247</v>
      </c>
      <c r="U19" s="53">
        <f>T19-J19</f>
        <v>-9.679000000000002</v>
      </c>
      <c r="V19" s="25">
        <f>T19*1000000/I19</f>
        <v>0.48643689089561443</v>
      </c>
      <c r="W19" s="26">
        <f>V19/L19</f>
        <v>0.93545555941464309</v>
      </c>
    </row>
    <row r="20" spans="1:23" x14ac:dyDescent="0.25">
      <c r="A20" s="6" t="s">
        <v>66</v>
      </c>
      <c r="B20" s="7" t="s">
        <v>67</v>
      </c>
      <c r="C20" s="7" t="s">
        <v>161</v>
      </c>
      <c r="D20" s="3"/>
      <c r="E20" s="4"/>
      <c r="F20" s="13">
        <v>17.16</v>
      </c>
      <c r="G20" s="14">
        <v>1607.529</v>
      </c>
      <c r="H20" s="51">
        <f>_xll.SNL.Clients.Office.Excel.Functions.SPG($A$3, "IQ_Total_debt","FQ0",B20)</f>
        <v>1870445</v>
      </c>
      <c r="I20" s="60">
        <f>_xll.SNL.Clients.Office.Excel.Functions.SPG($A$3, "sp_shares_out",$B20)</f>
        <v>93317621</v>
      </c>
      <c r="J20" s="18">
        <v>57.585000000000001</v>
      </c>
      <c r="K20" s="25">
        <f>(J20*1000000)/I20</f>
        <v>0.61708602708592408</v>
      </c>
      <c r="L20" s="79">
        <f>_xll.SNL.Clients.Office.Excel.Functions.SPG($A$3, "IQ_Common_div_declared", "FQ0", $B20)</f>
        <v>0.52</v>
      </c>
      <c r="M20" s="26">
        <f>K20/L20</f>
        <v>1.1867038982421616</v>
      </c>
      <c r="N20" s="16">
        <v>1.4E-2</v>
      </c>
      <c r="O20" s="16">
        <v>3.5999999999999997E-2</v>
      </c>
      <c r="P20" s="10"/>
      <c r="Q20" s="14">
        <v>3539.1529999999998</v>
      </c>
      <c r="R20" s="14">
        <v>3518.4119999999998</v>
      </c>
      <c r="S20" s="8">
        <f>IF(R20&gt;0,R20/Q20,"")</f>
        <v>0.9941395582502367</v>
      </c>
      <c r="T20" s="54">
        <f>_xll.SNL.Clients.Office.Excel.Functions.SPG($A$3, "iq_ebt_excl", "FQ0", C20)/1000</f>
        <v>78.95</v>
      </c>
      <c r="U20" s="53">
        <f>T20-J20</f>
        <v>21.365000000000002</v>
      </c>
      <c r="V20" s="25">
        <f>T20*1000000/I20</f>
        <v>0.84603528416139118</v>
      </c>
      <c r="W20" s="26">
        <f>V20/L20</f>
        <v>1.6269909310795985</v>
      </c>
    </row>
    <row r="21" spans="1:23" x14ac:dyDescent="0.25">
      <c r="A21" s="1" t="s">
        <v>69</v>
      </c>
      <c r="B21" s="2" t="s">
        <v>70</v>
      </c>
      <c r="C21" s="2" t="s">
        <v>162</v>
      </c>
      <c r="D21" s="3"/>
      <c r="E21" s="4"/>
      <c r="F21" s="11">
        <v>17.04</v>
      </c>
      <c r="G21" s="12">
        <v>1601.2829999999999</v>
      </c>
      <c r="H21" s="51">
        <f>_xll.SNL.Clients.Office.Excel.Functions.SPG($A$3, "IQ_Total_debt","FQ0",B21)</f>
        <v>1901142</v>
      </c>
      <c r="I21" s="60">
        <f>_xll.SNL.Clients.Office.Excel.Functions.SPG($A$3, "sp_shares_out",$B21)</f>
        <v>93661436</v>
      </c>
      <c r="J21" s="17">
        <v>57.978000000000002</v>
      </c>
      <c r="K21" s="25">
        <f>(J21*1000000)/I21</f>
        <v>0.61901677441716785</v>
      </c>
      <c r="L21" s="79">
        <f>_xll.SNL.Clients.Office.Excel.Functions.SPG($A$3, "IQ_Common_div_declared", "FQ0", $B21)</f>
        <v>0.51</v>
      </c>
      <c r="M21" s="26">
        <f>K21/L21</f>
        <v>1.2137583812101329</v>
      </c>
      <c r="N21" s="15">
        <v>1.2E-2</v>
      </c>
      <c r="O21" s="15">
        <v>3.7000000000000012E-2</v>
      </c>
      <c r="P21" s="9"/>
      <c r="Q21" s="12">
        <v>3443.59</v>
      </c>
      <c r="R21" s="12">
        <v>3412.0320000000002</v>
      </c>
      <c r="S21" s="5">
        <f>IF(R21&gt;0,R21/Q21,"")</f>
        <v>0.99083572666897046</v>
      </c>
      <c r="T21" s="54">
        <f>_xll.SNL.Clients.Office.Excel.Functions.SPG($A$3, "iq_ebt_excl", "FQ0", C21)/1000</f>
        <v>48.006999999999998</v>
      </c>
      <c r="U21" s="53">
        <f>T21-J21</f>
        <v>-9.9710000000000036</v>
      </c>
      <c r="V21" s="25">
        <f>T21*1000000/I21</f>
        <v>0.51255887214883189</v>
      </c>
      <c r="W21" s="26">
        <f>V21/L21</f>
        <v>1.0050173963702587</v>
      </c>
    </row>
    <row r="22" spans="1:23" x14ac:dyDescent="0.25">
      <c r="A22" s="6" t="s">
        <v>72</v>
      </c>
      <c r="B22" s="7" t="s">
        <v>73</v>
      </c>
      <c r="C22" s="7" t="s">
        <v>163</v>
      </c>
      <c r="D22" s="3"/>
      <c r="E22" s="4"/>
      <c r="F22" s="13">
        <v>17.170000000000002</v>
      </c>
      <c r="G22" s="14">
        <v>1617.646</v>
      </c>
      <c r="H22" s="51">
        <f>_xll.SNL.Clients.Office.Excel.Functions.SPG($A$3, "IQ_Total_debt","FQ0",B22)</f>
        <v>1844837</v>
      </c>
      <c r="I22" s="60">
        <f>_xll.SNL.Clients.Office.Excel.Functions.SPG($A$3, "sp_shares_out",$B22)</f>
        <v>93964358</v>
      </c>
      <c r="J22" s="18">
        <v>50.84</v>
      </c>
      <c r="K22" s="25">
        <f>(J22*1000000)/I22</f>
        <v>0.54105621623041367</v>
      </c>
      <c r="L22" s="79">
        <f>_xll.SNL.Clients.Office.Excel.Functions.SPG($A$3, "IQ_Common_div_declared", "FQ0", $B22)</f>
        <v>0.53</v>
      </c>
      <c r="M22" s="26">
        <f>K22/L22</f>
        <v>1.020860785340403</v>
      </c>
      <c r="N22" s="16">
        <v>6.0000000000000001E-3</v>
      </c>
      <c r="O22" s="16">
        <v>2.1000000000000001E-2</v>
      </c>
      <c r="P22" s="10"/>
      <c r="Q22" s="14">
        <v>3255.66</v>
      </c>
      <c r="R22" s="14">
        <v>3294.9050000000002</v>
      </c>
      <c r="S22" s="8">
        <f>IF(R22&gt;0,R22/Q22,"")</f>
        <v>1.0120543914290805</v>
      </c>
      <c r="T22" s="54">
        <f>_xll.SNL.Clients.Office.Excel.Functions.SPG($A$3, "iq_ebt_excl", "FQ0", C22)/1000</f>
        <v>26.294</v>
      </c>
      <c r="U22" s="53">
        <f>T22-J22</f>
        <v>-24.546000000000003</v>
      </c>
      <c r="V22" s="25">
        <f>T22*1000000/I22</f>
        <v>0.27982950726912859</v>
      </c>
      <c r="W22" s="26">
        <f>V22/L22</f>
        <v>0.52798020239458221</v>
      </c>
    </row>
    <row r="23" spans="1:23" x14ac:dyDescent="0.25">
      <c r="A23" s="1" t="s">
        <v>75</v>
      </c>
      <c r="B23" s="2" t="s">
        <v>76</v>
      </c>
      <c r="C23" s="2" t="s">
        <v>164</v>
      </c>
      <c r="D23" s="3"/>
      <c r="E23" s="4"/>
      <c r="F23" s="11">
        <v>17.14</v>
      </c>
      <c r="G23" s="12">
        <v>1619.7070000000001</v>
      </c>
      <c r="H23" s="51">
        <f>_xll.SNL.Clients.Office.Excel.Functions.SPG($A$3, "IQ_Total_debt","FQ0",B23)</f>
        <v>1726557</v>
      </c>
      <c r="I23" s="60">
        <f>_xll.SNL.Clients.Office.Excel.Functions.SPG($A$3, "sp_shares_out",$B23)</f>
        <v>94240348</v>
      </c>
      <c r="J23" s="17">
        <v>50.68</v>
      </c>
      <c r="K23" s="25">
        <f>(J23*1000000)/I23</f>
        <v>0.53777390550382942</v>
      </c>
      <c r="L23" s="79">
        <f>_xll.SNL.Clients.Office.Excel.Functions.SPG($A$3, "IQ_Common_div_declared", "FQ0", $B23)</f>
        <v>0.51</v>
      </c>
      <c r="M23" s="26">
        <f>K23/L23</f>
        <v>1.0544586382428027</v>
      </c>
      <c r="N23" s="15">
        <v>6.0000000000000001E-3</v>
      </c>
      <c r="O23" s="15">
        <v>0.02</v>
      </c>
      <c r="P23" s="9"/>
      <c r="Q23" s="12">
        <v>3343.9720000000002</v>
      </c>
      <c r="R23" s="12">
        <v>3376.3110000000001</v>
      </c>
      <c r="S23" s="5">
        <f>IF(R23&gt;0,R23/Q23,"")</f>
        <v>1.0096708345644043</v>
      </c>
      <c r="T23" s="54">
        <f>_xll.SNL.Clients.Office.Excel.Functions.SPG($A$3, "iq_ebt_excl", "FQ0", C23)/1000</f>
        <v>52.444000000000003</v>
      </c>
      <c r="U23" s="53">
        <f>T23-J23</f>
        <v>1.7640000000000029</v>
      </c>
      <c r="V23" s="25">
        <f>T23*1000000/I23</f>
        <v>0.55649200276722233</v>
      </c>
      <c r="W23" s="26">
        <f>V23/L23</f>
        <v>1.0911607897396516</v>
      </c>
    </row>
    <row r="24" spans="1:23" x14ac:dyDescent="0.25">
      <c r="A24" s="6" t="s">
        <v>78</v>
      </c>
      <c r="B24" s="7" t="s">
        <v>79</v>
      </c>
      <c r="C24" s="7" t="s">
        <v>165</v>
      </c>
      <c r="D24" s="3"/>
      <c r="E24" s="4"/>
      <c r="F24" s="13">
        <v>16.98</v>
      </c>
      <c r="G24" s="14">
        <v>1607.721</v>
      </c>
      <c r="H24" s="51">
        <f>_xll.SNL.Clients.Office.Excel.Functions.SPG($A$3, "IQ_Total_debt","FQ0",B24)</f>
        <v>1834285</v>
      </c>
      <c r="I24" s="60">
        <f>_xll.SNL.Clients.Office.Excel.Functions.SPG($A$3, "sp_shares_out",$B24)</f>
        <v>94493925</v>
      </c>
      <c r="J24" s="18">
        <v>50.497</v>
      </c>
      <c r="K24" s="25">
        <f>(J24*1000000)/I24</f>
        <v>0.53439414226893422</v>
      </c>
      <c r="L24" s="79">
        <f>_xll.SNL.Clients.Office.Excel.Functions.SPG($A$3, "IQ_Common_div_declared", "FQ0", $B24)</f>
        <v>0.51</v>
      </c>
      <c r="M24" s="26">
        <f>K24/L24</f>
        <v>1.0478316515077142</v>
      </c>
      <c r="N24" s="16">
        <v>6.0000000000000001E-3</v>
      </c>
      <c r="O24" s="16">
        <v>2.1000000000000001E-2</v>
      </c>
      <c r="P24" s="10"/>
      <c r="Q24" s="14">
        <v>3323.2820000000002</v>
      </c>
      <c r="R24" s="14">
        <v>3347.317</v>
      </c>
      <c r="S24" s="8">
        <f>IF(R24&gt;0,R24/Q24,"")</f>
        <v>1.0072323083024552</v>
      </c>
      <c r="T24" s="54">
        <f>_xll.SNL.Clients.Office.Excel.Functions.SPG($A$3, "iq_ebt_excl", "FQ0", C24)/1000</f>
        <v>52.151000000000003</v>
      </c>
      <c r="U24" s="53">
        <f>T24-J24</f>
        <v>1.6540000000000035</v>
      </c>
      <c r="V24" s="25">
        <f>T24*1000000/I24</f>
        <v>0.55189791301398472</v>
      </c>
      <c r="W24" s="26">
        <f>V24/L24</f>
        <v>1.0821527706156564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ARCC</vt:lpstr>
      <vt:lpstr>BXSL</vt:lpstr>
      <vt:lpstr>GBDC</vt:lpstr>
      <vt:lpstr>OBDC</vt:lpstr>
      <vt:lpstr>TCPC</vt:lpstr>
      <vt:lpstr>TSLX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Izzo</cp:lastModifiedBy>
  <dcterms:created xsi:type="dcterms:W3CDTF">2026-03-22T17:04:07Z</dcterms:created>
  <dcterms:modified xsi:type="dcterms:W3CDTF">2026-03-22T19:13:08Z</dcterms:modified>
</cp:coreProperties>
</file>